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20" activeTab="2"/>
  </bookViews>
  <sheets>
    <sheet name="Sheet1" sheetId="1" r:id="rId1"/>
    <sheet name="1-5月" sheetId="3" r:id="rId2"/>
    <sheet name="1-12月" sheetId="4" r:id="rId3"/>
  </sheets>
  <definedNames>
    <definedName name="_xlnm._FilterDatabase" localSheetId="0" hidden="1">Sheet1!$A$2:$U$54</definedName>
    <definedName name="_xlnm._FilterDatabase" localSheetId="1" hidden="1">'1-5月'!$A$3:$F$32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<sst xmlns="http://schemas.openxmlformats.org/spreadsheetml/2006/main" count="203" uniqueCount="117">
  <si>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重点类别</t>
  </si>
  <si>
    <t>品种</t>
  </si>
  <si>
    <t>规格</t>
  </si>
  <si>
    <t>U.P.</t>
  </si>
  <si>
    <t>2025目标销量（盒）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</si>
  <si>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</si>
  <si>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</si>
  <si>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</si>
  <si>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</si>
  <si>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</si>
  <si>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</si>
  <si>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</si>
  <si>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</si>
  <si>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</si>
  <si>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</si>
  <si>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</si>
  <si>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</si>
  <si>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</si>
  <si>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当前完成比</t>
  </si>
  <si>
    <t>完成金额</t>
  </si>
  <si>
    <t>普拉洛芬滴眼液</t>
  </si>
  <si>
    <t>0.1%（5ml:5mg)</t>
  </si>
  <si>
    <t>硫酸氨基葡萄糖胶囊</t>
  </si>
  <si>
    <t>0.25g*300粒</t>
  </si>
  <si>
    <t>鸦胆子油软胶囊</t>
  </si>
  <si>
    <t>0.35g*36粒</t>
  </si>
  <si>
    <t>0.53g*24粒/盒</t>
  </si>
  <si>
    <t>0.53g*48粒/盒</t>
  </si>
  <si>
    <t>莫匹罗星软膏</t>
  </si>
  <si>
    <t>2%（15克：0.3克）*1支</t>
  </si>
  <si>
    <t>碳酸钙D3咀嚼片</t>
  </si>
  <si>
    <t>1.25g/200IU*60片</t>
  </si>
  <si>
    <t>酚咖片</t>
  </si>
  <si>
    <t>500mg/65mg 10片</t>
  </si>
  <si>
    <t>盐酸奥洛他定颗粒</t>
  </si>
  <si>
    <t>2.5mg*20袋</t>
  </si>
  <si>
    <t>盐酸沙格雷酯片</t>
  </si>
  <si>
    <t>100mg*12片</t>
  </si>
  <si>
    <t>0.25g*60粒</t>
  </si>
  <si>
    <t>ω-3脂肪酸乙酯90软胶囊</t>
  </si>
  <si>
    <t>1g*24粒</t>
  </si>
  <si>
    <t>大黄利胆片</t>
  </si>
  <si>
    <t>0.35g*24片</t>
  </si>
  <si>
    <t>0.35g*36片</t>
  </si>
  <si>
    <t>缬沙坦氢氯噻嗪分散片</t>
  </si>
  <si>
    <t>80mg/12.5mg*10片</t>
  </si>
  <si>
    <t>80mg/12.5mg*14片</t>
  </si>
  <si>
    <t>缬沙坦氢氯噻嗪片</t>
  </si>
  <si>
    <t>瑞舒伐他汀钙片</t>
  </si>
  <si>
    <t>10mg*14片</t>
  </si>
  <si>
    <t>羟苯磺酸钙分散片</t>
  </si>
  <si>
    <t>0.25g*36片</t>
  </si>
  <si>
    <t>羟苯磺酸钙胶囊</t>
  </si>
  <si>
    <t>0.5g*36粒</t>
  </si>
  <si>
    <t>80mg/12.5mg*7片</t>
  </si>
  <si>
    <t>活血止痛片</t>
  </si>
  <si>
    <t>0.4g*36片</t>
  </si>
  <si>
    <t>间苯三酚注射液</t>
  </si>
  <si>
    <t>4ml:40mg*6支</t>
  </si>
  <si>
    <t>缬沙坦氨氯地平片（I）</t>
  </si>
  <si>
    <t>80mg/5mg*14片</t>
  </si>
  <si>
    <t>西甲硅油乳剂</t>
  </si>
  <si>
    <t>30ml</t>
  </si>
  <si>
    <t>溴芬酸钠滴眼液</t>
  </si>
  <si>
    <t>5ml:5mg</t>
  </si>
  <si>
    <t>阿仑膦酸钠片</t>
  </si>
  <si>
    <t>70mg*2片</t>
  </si>
  <si>
    <t>富马酸卢帕他定片</t>
  </si>
  <si>
    <t>10mg *7片</t>
  </si>
  <si>
    <t>吡仑帕奈片【二精】</t>
  </si>
  <si>
    <t>2mg/4mg*28片</t>
  </si>
  <si>
    <t>马来酸氟伏沙明片</t>
  </si>
  <si>
    <t>盐酸氨溴索口服溶液</t>
  </si>
  <si>
    <t>100ml：0.3g*1瓶</t>
  </si>
  <si>
    <t>盐酸莫西沙星滴眼液</t>
  </si>
  <si>
    <t>5ml:25mg1支/盒</t>
  </si>
  <si>
    <t>磷酸奥司他韦干混悬剂</t>
  </si>
  <si>
    <t>0.36g*1瓶</t>
  </si>
  <si>
    <t>前列癃闭通片</t>
  </si>
  <si>
    <t>0.5g*36片</t>
  </si>
  <si>
    <t>独一味软胶囊</t>
  </si>
  <si>
    <t>0.55g*24粒</t>
  </si>
  <si>
    <t>0.4g*30片</t>
  </si>
  <si>
    <t>0.55g*36粒</t>
  </si>
  <si>
    <t>复方大红袍止血片</t>
  </si>
  <si>
    <t>0.5g*24片</t>
  </si>
  <si>
    <t>磷酸奥司他韦胶囊</t>
  </si>
  <si>
    <t>75mg/30mg*10粒</t>
  </si>
  <si>
    <t>孟鲁司特钠颗粒</t>
  </si>
  <si>
    <t>4mg*7袋</t>
  </si>
  <si>
    <t>厄贝沙坦氢氯噻嗪片</t>
  </si>
  <si>
    <t>150/12.5mg*14片</t>
  </si>
  <si>
    <t>铝碳酸镁咀嚼片</t>
  </si>
  <si>
    <t>0.4g*20片</t>
  </si>
  <si>
    <t>1.25g/200IU*36片</t>
  </si>
  <si>
    <t>奥美沙坦酯氨氯地平片</t>
  </si>
  <si>
    <t>20mg/5mg*28片</t>
  </si>
  <si>
    <t>500mg/65mg 8片</t>
  </si>
  <si>
    <t>阿司匹林肠溶片</t>
  </si>
  <si>
    <t>100mg*30片</t>
  </si>
  <si>
    <t>培哚普利氨氯地平片（III)</t>
  </si>
  <si>
    <t>7片</t>
  </si>
  <si>
    <t>蒙脱石散</t>
  </si>
  <si>
    <t>3克*12袋/盒</t>
  </si>
  <si>
    <t>浙江大区销售部 1-12月销售</t>
  </si>
  <si>
    <t>2025年 1-5月</t>
  </si>
  <si>
    <t>2024年1-5月</t>
  </si>
  <si>
    <t>增长贡献占比</t>
  </si>
  <si>
    <t>除普拉洛芬、鸦胆子 增长贡献比</t>
  </si>
  <si>
    <t>求和项:1-5月结算金额</t>
  </si>
  <si>
    <t>求和项:1-5月销售额</t>
  </si>
  <si>
    <t>增减金额</t>
  </si>
  <si>
    <t>缬沙坦氨氯地平片（Ⅰ）</t>
  </si>
  <si>
    <t>总计</t>
  </si>
  <si>
    <t>物料名称</t>
  </si>
  <si>
    <t>求和项:2025金额合计</t>
  </si>
  <si>
    <t>2024金额合计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</si>
</sst>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000%"/>
    <numFmt numFmtId="181" formatCode="0.00000%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0" xfId="3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10" fontId="4" fillId="4" borderId="1" xfId="0" applyNumberFormat="1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 wrapText="1"/>
    </xf>
    <xf numFmtId="0" fontId="0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Fill="1" applyBorder="1">
      <alignment vertical="center"/>
    </xf>
    <xf numFmtId="10" fontId="0" fillId="0" borderId="1" xfId="0" applyNumberFormat="1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pane xSplit="3" topLeftCell="D1" activePane="topRight" state="frozen"/>
      <selection/>
      <selection pane="topRight" activeCell="S8" sqref="S8"/>
    </sheetView>
  </sheetViews>
  <sheetFormatPr defaultColWidth="9.22115384615385" defaultRowHeight="16.8"/>
  <cols>
    <col min="1" max="1" width="16.6634615384615" style="22" customWidth="1"/>
    <col min="2" max="2" width="25.6346153846154" style="23" customWidth="1"/>
    <col min="3" max="3" width="19.5384615384615" style="24" customWidth="1"/>
    <col min="4" max="4" width="11.0384615384615" style="25" customWidth="1"/>
    <col min="5" max="5" width="15.5384615384615" style="26" customWidth="1"/>
    <col min="6" max="14" width="10.6923076923077" customWidth="1"/>
    <col min="15" max="15" width="10.6923076923077" style="27" customWidth="1"/>
    <col min="16" max="17" width="10.6923076923077" customWidth="1"/>
    <col min="18" max="18" width="11.0576923076923" customWidth="1"/>
    <col min="19" max="19" width="13.9423076923077" customWidth="1"/>
    <col min="20" max="20" width="9.69230769230769"/>
  </cols>
  <sheetData>
    <row r="1" spans="4:4">
      <c r="D1" s="13"/>
    </row>
    <row r="2" ht="34" spans="1:20">
      <c r="A2" s="28" t="s">
        <v>0</v>
      </c>
      <c r="B2" s="29" t="s">
        <v>1</v>
      </c>
      <c r="C2" s="29" t="s">
        <v>2</v>
      </c>
      <c r="D2" s="30" t="s">
        <v>3</v>
      </c>
      <c r="E2" s="29" t="s">
        <v>4</v>
      </c>
      <c r="F2" s="29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45" t="s">
        <v>14</v>
      </c>
      <c r="P2" s="29" t="s">
        <v>15</v>
      </c>
      <c r="Q2" s="29" t="s">
        <v>16</v>
      </c>
      <c r="R2" s="29" t="s">
        <v>17</v>
      </c>
      <c r="S2" s="29" t="s">
        <v>18</v>
      </c>
      <c r="T2" s="29" t="s">
        <v>19</v>
      </c>
    </row>
    <row r="3" spans="1:21">
      <c r="A3" s="31">
        <v>1.1</v>
      </c>
      <c r="B3" s="32" t="s">
        <v>20</v>
      </c>
      <c r="C3" s="32" t="s">
        <v>21</v>
      </c>
      <c r="D3" s="33">
        <v>3.5</v>
      </c>
      <c r="E3" s="33">
        <v>1200000</v>
      </c>
      <c r="F3" s="4"/>
      <c r="G3" s="4"/>
      <c r="H3" s="4">
        <v>10000</v>
      </c>
      <c r="I3" s="4">
        <v>273000</v>
      </c>
      <c r="J3" s="4">
        <v>41600</v>
      </c>
      <c r="K3" s="4">
        <v>80000</v>
      </c>
      <c r="L3" s="4">
        <v>68000</v>
      </c>
      <c r="M3" s="4">
        <v>45600</v>
      </c>
      <c r="N3" s="46">
        <v>76000</v>
      </c>
      <c r="O3" s="4">
        <v>82000</v>
      </c>
      <c r="P3" s="4">
        <v>71600</v>
      </c>
      <c r="Q3" s="49">
        <v>70000</v>
      </c>
      <c r="R3" s="4">
        <f>SUM(F3:Q3)</f>
        <v>817800</v>
      </c>
      <c r="S3" s="50">
        <f t="shared" ref="S3:S8" si="0">R3/E3</f>
        <v>0.6815</v>
      </c>
      <c r="T3" s="4">
        <f>R3*D3</f>
        <v>2862300</v>
      </c>
      <c r="U3">
        <f>Q3*D3</f>
        <v>245000</v>
      </c>
    </row>
    <row r="4" spans="1:21">
      <c r="A4" s="31">
        <v>1.1</v>
      </c>
      <c r="B4" s="34" t="s">
        <v>22</v>
      </c>
      <c r="C4" s="34" t="s">
        <v>23</v>
      </c>
      <c r="D4" s="33">
        <v>90</v>
      </c>
      <c r="E4" s="33">
        <v>30000</v>
      </c>
      <c r="F4" s="4">
        <v>2016</v>
      </c>
      <c r="G4" s="4">
        <v>1247</v>
      </c>
      <c r="H4" s="4">
        <v>2014</v>
      </c>
      <c r="I4" s="4">
        <v>2016</v>
      </c>
      <c r="J4" s="4">
        <v>2016</v>
      </c>
      <c r="K4" s="4"/>
      <c r="L4" s="4">
        <v>2336</v>
      </c>
      <c r="M4" s="4"/>
      <c r="N4" s="46">
        <v>2976</v>
      </c>
      <c r="O4" s="4"/>
      <c r="P4" s="4">
        <v>2656</v>
      </c>
      <c r="Q4" s="49">
        <v>2016</v>
      </c>
      <c r="R4" s="4">
        <f t="shared" ref="R4:R35" si="1">SUM(F4:Q4)</f>
        <v>19293</v>
      </c>
      <c r="S4" s="50">
        <f t="shared" si="0"/>
        <v>0.6431</v>
      </c>
      <c r="T4" s="4">
        <f t="shared" ref="T4:T53" si="2">R4*D4</f>
        <v>1736370</v>
      </c>
      <c r="U4">
        <f t="shared" ref="U4:U35" si="3">Q4*D4</f>
        <v>181440</v>
      </c>
    </row>
    <row r="5" spans="1:21">
      <c r="A5" s="31">
        <v>1.1</v>
      </c>
      <c r="B5" s="35" t="s">
        <v>24</v>
      </c>
      <c r="C5" s="34" t="s">
        <v>25</v>
      </c>
      <c r="D5" s="33">
        <v>23.5</v>
      </c>
      <c r="E5" s="33">
        <v>100000</v>
      </c>
      <c r="F5" s="4"/>
      <c r="G5" s="4"/>
      <c r="H5" s="4"/>
      <c r="I5" s="4">
        <v>200</v>
      </c>
      <c r="J5" s="4"/>
      <c r="K5" s="4">
        <v>4200</v>
      </c>
      <c r="L5" s="4">
        <v>1000</v>
      </c>
      <c r="M5" s="4"/>
      <c r="N5" s="46">
        <v>400</v>
      </c>
      <c r="O5" s="15">
        <v>-1600</v>
      </c>
      <c r="P5" s="4">
        <v>200</v>
      </c>
      <c r="Q5" s="49">
        <v>200</v>
      </c>
      <c r="R5" s="4">
        <f t="shared" si="1"/>
        <v>4600</v>
      </c>
      <c r="S5" s="50">
        <f t="shared" si="0"/>
        <v>0.046</v>
      </c>
      <c r="T5" s="4">
        <f t="shared" si="2"/>
        <v>108100</v>
      </c>
      <c r="U5">
        <f t="shared" si="3"/>
        <v>4700</v>
      </c>
    </row>
    <row r="6" spans="1:21">
      <c r="A6" s="31">
        <v>1.1</v>
      </c>
      <c r="B6" s="35" t="s">
        <v>24</v>
      </c>
      <c r="C6" s="36" t="s">
        <v>26</v>
      </c>
      <c r="D6" s="13">
        <v>17</v>
      </c>
      <c r="E6" s="33"/>
      <c r="F6" s="4"/>
      <c r="G6" s="4"/>
      <c r="H6" s="4">
        <v>720</v>
      </c>
      <c r="I6" s="4">
        <v>6240</v>
      </c>
      <c r="J6" s="4">
        <v>7000</v>
      </c>
      <c r="K6" s="4">
        <v>280</v>
      </c>
      <c r="L6" s="4">
        <v>1400</v>
      </c>
      <c r="M6" s="4"/>
      <c r="N6" s="46">
        <v>1400</v>
      </c>
      <c r="O6" s="4"/>
      <c r="P6" s="4"/>
      <c r="Q6" s="49"/>
      <c r="R6" s="4">
        <f t="shared" si="1"/>
        <v>17040</v>
      </c>
      <c r="S6" s="50" t="e">
        <f t="shared" si="0"/>
        <v>#DIV/0!</v>
      </c>
      <c r="T6" s="4">
        <f t="shared" si="2"/>
        <v>289680</v>
      </c>
      <c r="U6">
        <f t="shared" si="3"/>
        <v>0</v>
      </c>
    </row>
    <row r="7" spans="1:21">
      <c r="A7" s="31">
        <v>1.1</v>
      </c>
      <c r="B7" s="35" t="s">
        <v>24</v>
      </c>
      <c r="C7" s="36" t="s">
        <v>27</v>
      </c>
      <c r="D7" s="13">
        <v>31</v>
      </c>
      <c r="E7" s="33"/>
      <c r="F7" s="4"/>
      <c r="G7" s="4"/>
      <c r="H7" s="4"/>
      <c r="I7" s="4">
        <v>240</v>
      </c>
      <c r="J7" s="4"/>
      <c r="K7" s="4">
        <v>3120</v>
      </c>
      <c r="L7" s="4">
        <v>2760</v>
      </c>
      <c r="M7" s="4">
        <v>1560</v>
      </c>
      <c r="N7" s="46"/>
      <c r="O7" s="15">
        <v>2520</v>
      </c>
      <c r="P7" s="4">
        <v>2080</v>
      </c>
      <c r="Q7" s="49">
        <v>480</v>
      </c>
      <c r="R7" s="4">
        <f t="shared" si="1"/>
        <v>12760</v>
      </c>
      <c r="S7" s="50" t="e">
        <f t="shared" si="0"/>
        <v>#DIV/0!</v>
      </c>
      <c r="T7" s="4">
        <f t="shared" si="2"/>
        <v>395560</v>
      </c>
      <c r="U7">
        <f t="shared" si="3"/>
        <v>14880</v>
      </c>
    </row>
    <row r="8" spans="1:21">
      <c r="A8" s="31">
        <v>1.1</v>
      </c>
      <c r="B8" s="35" t="s">
        <v>28</v>
      </c>
      <c r="C8" s="34" t="s">
        <v>29</v>
      </c>
      <c r="D8" s="33">
        <v>8</v>
      </c>
      <c r="E8" s="44">
        <v>100000</v>
      </c>
      <c r="F8" s="4">
        <v>5040</v>
      </c>
      <c r="G8" s="4"/>
      <c r="H8" s="4">
        <v>16800</v>
      </c>
      <c r="I8" s="4">
        <v>23856</v>
      </c>
      <c r="J8" s="4">
        <v>7392</v>
      </c>
      <c r="K8" s="4">
        <v>10416</v>
      </c>
      <c r="L8" s="4">
        <v>20160</v>
      </c>
      <c r="M8" s="4">
        <v>18144</v>
      </c>
      <c r="N8" s="46">
        <v>27542</v>
      </c>
      <c r="O8" s="4">
        <v>19152</v>
      </c>
      <c r="P8" s="4">
        <v>14107</v>
      </c>
      <c r="Q8" s="49">
        <v>25200</v>
      </c>
      <c r="R8" s="4">
        <f t="shared" si="1"/>
        <v>187809</v>
      </c>
      <c r="S8" s="50">
        <f t="shared" si="0"/>
        <v>1.87809</v>
      </c>
      <c r="T8" s="4">
        <f t="shared" si="2"/>
        <v>1502472</v>
      </c>
      <c r="U8">
        <f t="shared" si="3"/>
        <v>201600</v>
      </c>
    </row>
    <row r="9" spans="1:21">
      <c r="A9" s="31">
        <v>1.1</v>
      </c>
      <c r="B9" s="35" t="s">
        <v>30</v>
      </c>
      <c r="C9" s="34" t="s">
        <v>31</v>
      </c>
      <c r="D9" s="33">
        <v>12</v>
      </c>
      <c r="E9" s="44">
        <v>100000</v>
      </c>
      <c r="F9" s="4">
        <v>8880</v>
      </c>
      <c r="G9" s="4">
        <v>2400</v>
      </c>
      <c r="H9" s="4">
        <v>8560</v>
      </c>
      <c r="I9" s="4">
        <v>3520</v>
      </c>
      <c r="J9" s="4">
        <v>6720</v>
      </c>
      <c r="K9" s="4">
        <v>2480</v>
      </c>
      <c r="L9" s="4">
        <v>4160</v>
      </c>
      <c r="M9" s="4">
        <v>6400</v>
      </c>
      <c r="N9" s="46">
        <v>4240</v>
      </c>
      <c r="O9" s="4">
        <v>3359</v>
      </c>
      <c r="P9" s="4">
        <v>6240</v>
      </c>
      <c r="Q9" s="49">
        <v>720</v>
      </c>
      <c r="R9" s="4">
        <f t="shared" si="1"/>
        <v>57679</v>
      </c>
      <c r="S9" s="50">
        <f t="shared" ref="S8:S53" si="4">R9/E9</f>
        <v>0.57679</v>
      </c>
      <c r="T9" s="4">
        <f t="shared" si="2"/>
        <v>692148</v>
      </c>
      <c r="U9">
        <f t="shared" si="3"/>
        <v>8640</v>
      </c>
    </row>
    <row r="10" spans="1:21">
      <c r="A10" s="31">
        <v>1.1</v>
      </c>
      <c r="B10" s="35" t="s">
        <v>32</v>
      </c>
      <c r="C10" s="34" t="s">
        <v>33</v>
      </c>
      <c r="D10" s="33">
        <v>6</v>
      </c>
      <c r="E10" s="33">
        <v>100000</v>
      </c>
      <c r="F10" s="4">
        <v>7500</v>
      </c>
      <c r="G10" s="4">
        <v>900</v>
      </c>
      <c r="H10" s="4">
        <v>6600</v>
      </c>
      <c r="I10" s="4">
        <v>12300</v>
      </c>
      <c r="J10" s="4">
        <v>6600</v>
      </c>
      <c r="K10" s="4">
        <v>600</v>
      </c>
      <c r="L10" s="4">
        <v>4200</v>
      </c>
      <c r="M10" s="4">
        <v>4500</v>
      </c>
      <c r="N10" s="46">
        <v>2400</v>
      </c>
      <c r="O10" s="4">
        <v>1500</v>
      </c>
      <c r="P10" s="4">
        <v>6000</v>
      </c>
      <c r="Q10" s="49">
        <v>18300</v>
      </c>
      <c r="R10" s="4">
        <f t="shared" si="1"/>
        <v>71400</v>
      </c>
      <c r="S10" s="50">
        <f t="shared" si="4"/>
        <v>0.714</v>
      </c>
      <c r="T10" s="4">
        <f t="shared" si="2"/>
        <v>428400</v>
      </c>
      <c r="U10">
        <f t="shared" si="3"/>
        <v>109800</v>
      </c>
    </row>
    <row r="11" spans="1:21">
      <c r="A11" s="31">
        <v>1.1</v>
      </c>
      <c r="B11" s="32" t="s">
        <v>34</v>
      </c>
      <c r="C11" s="32" t="s">
        <v>35</v>
      </c>
      <c r="D11" s="33">
        <v>14</v>
      </c>
      <c r="E11" s="33">
        <v>20000</v>
      </c>
      <c r="F11" s="4"/>
      <c r="G11" s="4">
        <v>200</v>
      </c>
      <c r="H11" s="4">
        <v>400</v>
      </c>
      <c r="I11" s="4"/>
      <c r="J11" s="4">
        <v>400</v>
      </c>
      <c r="K11" s="4"/>
      <c r="L11" s="4">
        <v>400</v>
      </c>
      <c r="M11" s="4"/>
      <c r="N11" s="46">
        <v>2000</v>
      </c>
      <c r="O11" s="15">
        <v>200</v>
      </c>
      <c r="P11" s="4"/>
      <c r="Q11" s="49"/>
      <c r="R11" s="4">
        <f t="shared" si="1"/>
        <v>3600</v>
      </c>
      <c r="S11" s="50">
        <f t="shared" si="4"/>
        <v>0.18</v>
      </c>
      <c r="T11" s="4">
        <f t="shared" si="2"/>
        <v>50400</v>
      </c>
      <c r="U11">
        <f t="shared" si="3"/>
        <v>0</v>
      </c>
    </row>
    <row r="12" spans="1:21">
      <c r="A12" s="31">
        <v>1.1</v>
      </c>
      <c r="B12" s="35" t="s">
        <v>36</v>
      </c>
      <c r="C12" s="34" t="s">
        <v>37</v>
      </c>
      <c r="D12" s="33">
        <v>16</v>
      </c>
      <c r="E12" s="33">
        <v>20000</v>
      </c>
      <c r="F12" s="4"/>
      <c r="G12" s="4">
        <v>320</v>
      </c>
      <c r="H12" s="4"/>
      <c r="I12" s="4">
        <v>320</v>
      </c>
      <c r="J12" s="4">
        <v>320</v>
      </c>
      <c r="K12" s="4">
        <v>320</v>
      </c>
      <c r="L12" s="4">
        <v>320</v>
      </c>
      <c r="M12" s="4">
        <v>320</v>
      </c>
      <c r="N12" s="46"/>
      <c r="O12" s="4">
        <v>320</v>
      </c>
      <c r="P12" s="4">
        <v>320</v>
      </c>
      <c r="Q12" s="49"/>
      <c r="R12" s="4">
        <f t="shared" si="1"/>
        <v>2560</v>
      </c>
      <c r="S12" s="50">
        <f t="shared" si="4"/>
        <v>0.128</v>
      </c>
      <c r="T12" s="4">
        <f t="shared" si="2"/>
        <v>40960</v>
      </c>
      <c r="U12">
        <f t="shared" si="3"/>
        <v>0</v>
      </c>
    </row>
    <row r="13" spans="1:21">
      <c r="A13" s="31">
        <v>1.1</v>
      </c>
      <c r="B13" s="34" t="s">
        <v>22</v>
      </c>
      <c r="C13" s="34" t="s">
        <v>38</v>
      </c>
      <c r="D13" s="33">
        <v>22.8</v>
      </c>
      <c r="E13" s="33">
        <v>10000</v>
      </c>
      <c r="F13" s="4">
        <v>320</v>
      </c>
      <c r="G13" s="4">
        <v>480</v>
      </c>
      <c r="H13" s="4">
        <v>160</v>
      </c>
      <c r="I13" s="4">
        <v>320</v>
      </c>
      <c r="J13" s="4">
        <v>1440</v>
      </c>
      <c r="K13" s="4">
        <v>320</v>
      </c>
      <c r="L13" s="4">
        <v>640</v>
      </c>
      <c r="M13" s="4">
        <v>320</v>
      </c>
      <c r="N13" s="46">
        <v>640</v>
      </c>
      <c r="O13" s="4">
        <v>640</v>
      </c>
      <c r="P13" s="4">
        <v>800</v>
      </c>
      <c r="Q13" s="49">
        <v>1280</v>
      </c>
      <c r="R13" s="4">
        <f t="shared" si="1"/>
        <v>7360</v>
      </c>
      <c r="S13" s="50">
        <f t="shared" si="4"/>
        <v>0.736</v>
      </c>
      <c r="T13" s="4">
        <f t="shared" si="2"/>
        <v>167808</v>
      </c>
      <c r="U13">
        <f t="shared" si="3"/>
        <v>29184</v>
      </c>
    </row>
    <row r="14" spans="1:21">
      <c r="A14" s="31">
        <v>1.1</v>
      </c>
      <c r="B14" s="37" t="s">
        <v>39</v>
      </c>
      <c r="C14" s="37" t="s">
        <v>40</v>
      </c>
      <c r="D14" s="13">
        <v>50</v>
      </c>
      <c r="E14" s="33">
        <v>10000</v>
      </c>
      <c r="F14" s="4"/>
      <c r="G14" s="4"/>
      <c r="H14" s="4"/>
      <c r="I14" s="4"/>
      <c r="J14" s="4">
        <v>800</v>
      </c>
      <c r="K14" s="4"/>
      <c r="L14" s="4"/>
      <c r="M14" s="4">
        <v>800</v>
      </c>
      <c r="N14" s="46">
        <v>320</v>
      </c>
      <c r="O14" s="4">
        <v>800</v>
      </c>
      <c r="P14" s="4">
        <v>320</v>
      </c>
      <c r="Q14" s="49"/>
      <c r="R14" s="4">
        <f t="shared" si="1"/>
        <v>3040</v>
      </c>
      <c r="S14" s="50">
        <f t="shared" si="4"/>
        <v>0.304</v>
      </c>
      <c r="T14" s="4">
        <f t="shared" si="2"/>
        <v>152000</v>
      </c>
      <c r="U14">
        <f t="shared" si="3"/>
        <v>0</v>
      </c>
    </row>
    <row r="15" spans="1:21">
      <c r="A15" s="31">
        <v>1.1</v>
      </c>
      <c r="B15" s="34" t="s">
        <v>41</v>
      </c>
      <c r="C15" s="34" t="s">
        <v>42</v>
      </c>
      <c r="D15" s="33">
        <v>6.5</v>
      </c>
      <c r="E15" s="33">
        <v>25000</v>
      </c>
      <c r="F15" s="4">
        <v>1800</v>
      </c>
      <c r="G15" s="4"/>
      <c r="H15" s="4">
        <v>1440</v>
      </c>
      <c r="I15" s="4">
        <v>3600</v>
      </c>
      <c r="J15" s="4">
        <v>1440</v>
      </c>
      <c r="K15" s="4">
        <v>1080</v>
      </c>
      <c r="L15" s="4">
        <v>1080</v>
      </c>
      <c r="M15" s="4">
        <v>1440</v>
      </c>
      <c r="N15" s="46"/>
      <c r="O15" s="4">
        <v>1440</v>
      </c>
      <c r="P15" s="4">
        <v>1080</v>
      </c>
      <c r="Q15" s="49"/>
      <c r="R15" s="4">
        <f t="shared" si="1"/>
        <v>14400</v>
      </c>
      <c r="S15" s="50">
        <f t="shared" si="4"/>
        <v>0.576</v>
      </c>
      <c r="T15" s="4">
        <f t="shared" si="2"/>
        <v>93600</v>
      </c>
      <c r="U15">
        <f t="shared" si="3"/>
        <v>0</v>
      </c>
    </row>
    <row r="16" spans="1:21">
      <c r="A16" s="31">
        <v>1.1</v>
      </c>
      <c r="B16" s="34" t="s">
        <v>41</v>
      </c>
      <c r="C16" s="34" t="s">
        <v>43</v>
      </c>
      <c r="D16" s="33">
        <v>10</v>
      </c>
      <c r="E16" s="33">
        <v>6000</v>
      </c>
      <c r="F16" s="4"/>
      <c r="G16" s="4"/>
      <c r="H16" s="4"/>
      <c r="I16" s="4">
        <v>280</v>
      </c>
      <c r="J16" s="4"/>
      <c r="K16" s="4"/>
      <c r="L16" s="4">
        <v>280</v>
      </c>
      <c r="M16" s="4"/>
      <c r="N16" s="46">
        <v>560</v>
      </c>
      <c r="O16" s="4">
        <v>280</v>
      </c>
      <c r="P16" s="4"/>
      <c r="Q16" s="49">
        <v>280</v>
      </c>
      <c r="R16" s="4">
        <f t="shared" si="1"/>
        <v>1680</v>
      </c>
      <c r="S16" s="50">
        <f t="shared" si="4"/>
        <v>0.28</v>
      </c>
      <c r="T16" s="4">
        <f t="shared" si="2"/>
        <v>16800</v>
      </c>
      <c r="U16">
        <f t="shared" si="3"/>
        <v>2800</v>
      </c>
    </row>
    <row r="17" spans="1:21">
      <c r="A17" s="38">
        <v>1.2</v>
      </c>
      <c r="B17" s="34" t="s">
        <v>44</v>
      </c>
      <c r="C17" s="34" t="s">
        <v>45</v>
      </c>
      <c r="D17" s="33">
        <v>6.5</v>
      </c>
      <c r="E17" s="33">
        <v>700000</v>
      </c>
      <c r="F17" s="4">
        <v>93760</v>
      </c>
      <c r="G17" s="4">
        <v>33600</v>
      </c>
      <c r="H17" s="4">
        <v>58560</v>
      </c>
      <c r="I17" s="4">
        <v>75516</v>
      </c>
      <c r="J17" s="4">
        <v>54400</v>
      </c>
      <c r="K17" s="4">
        <v>62720</v>
      </c>
      <c r="L17" s="4">
        <v>49920</v>
      </c>
      <c r="M17" s="4">
        <v>61120</v>
      </c>
      <c r="N17" s="46">
        <v>81600</v>
      </c>
      <c r="O17" s="4">
        <v>53120</v>
      </c>
      <c r="P17" s="4">
        <v>54720</v>
      </c>
      <c r="Q17" s="49">
        <v>58560</v>
      </c>
      <c r="R17" s="4">
        <f t="shared" si="1"/>
        <v>737596</v>
      </c>
      <c r="S17" s="50">
        <f t="shared" si="4"/>
        <v>1.05370857142857</v>
      </c>
      <c r="T17" s="4">
        <f t="shared" si="2"/>
        <v>4794374</v>
      </c>
      <c r="U17">
        <f t="shared" si="3"/>
        <v>380640</v>
      </c>
    </row>
    <row r="18" spans="1:21">
      <c r="A18" s="38">
        <v>1.2</v>
      </c>
      <c r="B18" s="34" t="s">
        <v>44</v>
      </c>
      <c r="C18" s="34" t="s">
        <v>46</v>
      </c>
      <c r="D18" s="33">
        <v>9.5</v>
      </c>
      <c r="E18" s="33">
        <v>130000</v>
      </c>
      <c r="F18" s="4">
        <v>7200</v>
      </c>
      <c r="G18" s="4">
        <v>8399</v>
      </c>
      <c r="H18" s="4">
        <v>5700</v>
      </c>
      <c r="I18" s="4">
        <v>9000</v>
      </c>
      <c r="J18" s="4">
        <v>9000</v>
      </c>
      <c r="K18" s="4">
        <v>6300</v>
      </c>
      <c r="L18" s="4">
        <v>7200</v>
      </c>
      <c r="M18" s="4">
        <v>8100</v>
      </c>
      <c r="N18" s="46">
        <v>11400</v>
      </c>
      <c r="O18" s="4">
        <v>7500</v>
      </c>
      <c r="P18" s="4">
        <v>13800</v>
      </c>
      <c r="Q18" s="49">
        <v>12000</v>
      </c>
      <c r="R18" s="4">
        <f t="shared" si="1"/>
        <v>105599</v>
      </c>
      <c r="S18" s="50">
        <f t="shared" si="4"/>
        <v>0.8123</v>
      </c>
      <c r="T18" s="4">
        <f t="shared" si="2"/>
        <v>1003190.5</v>
      </c>
      <c r="U18">
        <f t="shared" si="3"/>
        <v>114000</v>
      </c>
    </row>
    <row r="19" spans="1:21">
      <c r="A19" s="38">
        <v>1.2</v>
      </c>
      <c r="B19" s="34" t="s">
        <v>47</v>
      </c>
      <c r="C19" s="34" t="s">
        <v>45</v>
      </c>
      <c r="D19" s="33">
        <v>6.5</v>
      </c>
      <c r="E19" s="33">
        <v>120000</v>
      </c>
      <c r="F19" s="4">
        <v>1600</v>
      </c>
      <c r="G19" s="4">
        <v>6720</v>
      </c>
      <c r="H19" s="4">
        <v>6400</v>
      </c>
      <c r="I19" s="4">
        <v>8640</v>
      </c>
      <c r="J19" s="4">
        <v>8000</v>
      </c>
      <c r="K19" s="4">
        <v>4800</v>
      </c>
      <c r="L19" s="4">
        <v>13440</v>
      </c>
      <c r="M19" s="4">
        <v>48320</v>
      </c>
      <c r="N19" s="46">
        <v>17600</v>
      </c>
      <c r="O19" s="4">
        <v>1920</v>
      </c>
      <c r="P19" s="4"/>
      <c r="Q19" s="49">
        <v>12160</v>
      </c>
      <c r="R19" s="4">
        <f t="shared" si="1"/>
        <v>129600</v>
      </c>
      <c r="S19" s="50">
        <f t="shared" si="4"/>
        <v>1.08</v>
      </c>
      <c r="T19" s="4">
        <f t="shared" si="2"/>
        <v>842400</v>
      </c>
      <c r="U19">
        <f t="shared" si="3"/>
        <v>79040</v>
      </c>
    </row>
    <row r="20" spans="1:21">
      <c r="A20" s="38">
        <v>1.2</v>
      </c>
      <c r="B20" s="35" t="s">
        <v>48</v>
      </c>
      <c r="C20" s="34" t="s">
        <v>49</v>
      </c>
      <c r="D20" s="33">
        <v>6</v>
      </c>
      <c r="E20" s="44">
        <v>120000</v>
      </c>
      <c r="F20" s="4">
        <v>10440</v>
      </c>
      <c r="G20" s="4">
        <v>5040</v>
      </c>
      <c r="H20" s="4">
        <v>5760</v>
      </c>
      <c r="I20" s="4">
        <v>9720</v>
      </c>
      <c r="J20" s="4">
        <v>11160</v>
      </c>
      <c r="K20" s="4">
        <v>720</v>
      </c>
      <c r="L20" s="4">
        <v>16200</v>
      </c>
      <c r="M20" s="4">
        <v>7914</v>
      </c>
      <c r="N20" s="46">
        <v>11880</v>
      </c>
      <c r="O20" s="4">
        <v>3600</v>
      </c>
      <c r="P20" s="4">
        <v>17280</v>
      </c>
      <c r="Q20" s="49">
        <v>3960</v>
      </c>
      <c r="R20" s="4">
        <f t="shared" si="1"/>
        <v>103674</v>
      </c>
      <c r="S20" s="50">
        <f t="shared" si="4"/>
        <v>0.86395</v>
      </c>
      <c r="T20" s="4">
        <f t="shared" si="2"/>
        <v>622044</v>
      </c>
      <c r="U20">
        <f t="shared" si="3"/>
        <v>23760</v>
      </c>
    </row>
    <row r="21" spans="1:21">
      <c r="A21" s="38">
        <v>1.2</v>
      </c>
      <c r="B21" s="35" t="s">
        <v>50</v>
      </c>
      <c r="C21" s="34" t="s">
        <v>51</v>
      </c>
      <c r="D21" s="33">
        <v>11.5</v>
      </c>
      <c r="E21" s="33">
        <v>50000</v>
      </c>
      <c r="F21" s="4">
        <v>2800</v>
      </c>
      <c r="G21" s="4">
        <v>1600</v>
      </c>
      <c r="H21" s="4">
        <v>1600</v>
      </c>
      <c r="I21" s="4">
        <v>3800</v>
      </c>
      <c r="J21" s="4">
        <v>2998</v>
      </c>
      <c r="K21" s="4">
        <v>1800</v>
      </c>
      <c r="L21" s="4">
        <v>4800</v>
      </c>
      <c r="M21" s="4">
        <v>3000</v>
      </c>
      <c r="N21" s="46">
        <v>4200</v>
      </c>
      <c r="O21" s="4">
        <v>1800</v>
      </c>
      <c r="P21" s="4">
        <v>3600</v>
      </c>
      <c r="Q21" s="49">
        <v>4600</v>
      </c>
      <c r="R21" s="4">
        <f t="shared" si="1"/>
        <v>36598</v>
      </c>
      <c r="S21" s="50">
        <f t="shared" si="4"/>
        <v>0.73196</v>
      </c>
      <c r="T21" s="4">
        <f t="shared" si="2"/>
        <v>420877</v>
      </c>
      <c r="U21">
        <f t="shared" si="3"/>
        <v>52900</v>
      </c>
    </row>
    <row r="22" spans="1:21">
      <c r="A22" s="38">
        <v>1.2</v>
      </c>
      <c r="B22" s="34" t="s">
        <v>47</v>
      </c>
      <c r="C22" s="34" t="s">
        <v>46</v>
      </c>
      <c r="D22" s="33">
        <v>9.5</v>
      </c>
      <c r="E22" s="33">
        <v>20000</v>
      </c>
      <c r="F22" s="4"/>
      <c r="G22" s="4">
        <v>1920</v>
      </c>
      <c r="H22" s="4">
        <v>1920</v>
      </c>
      <c r="I22" s="4">
        <v>640</v>
      </c>
      <c r="J22" s="4">
        <v>640</v>
      </c>
      <c r="K22" s="4">
        <v>3520</v>
      </c>
      <c r="L22" s="4">
        <v>2240</v>
      </c>
      <c r="M22" s="4">
        <v>640</v>
      </c>
      <c r="N22" s="46">
        <v>1920</v>
      </c>
      <c r="O22" s="4">
        <v>1920</v>
      </c>
      <c r="P22" s="4">
        <v>3520</v>
      </c>
      <c r="Q22" s="49"/>
      <c r="R22" s="4">
        <f t="shared" si="1"/>
        <v>18880</v>
      </c>
      <c r="S22" s="50">
        <f t="shared" si="4"/>
        <v>0.944</v>
      </c>
      <c r="T22" s="4">
        <f t="shared" si="2"/>
        <v>179360</v>
      </c>
      <c r="U22">
        <f t="shared" si="3"/>
        <v>0</v>
      </c>
    </row>
    <row r="23" spans="1:21">
      <c r="A23" s="38">
        <v>1.2</v>
      </c>
      <c r="B23" s="35" t="s">
        <v>52</v>
      </c>
      <c r="C23" s="34" t="s">
        <v>53</v>
      </c>
      <c r="D23" s="33">
        <v>16</v>
      </c>
      <c r="E23" s="44">
        <v>10000</v>
      </c>
      <c r="F23" s="4">
        <v>200</v>
      </c>
      <c r="G23" s="4">
        <v>200</v>
      </c>
      <c r="H23" s="4"/>
      <c r="I23" s="4">
        <v>200</v>
      </c>
      <c r="J23" s="4">
        <v>200</v>
      </c>
      <c r="K23" s="4">
        <v>400</v>
      </c>
      <c r="L23" s="4">
        <v>200</v>
      </c>
      <c r="M23" s="4">
        <v>400</v>
      </c>
      <c r="N23" s="46"/>
      <c r="O23" s="4"/>
      <c r="P23" s="4">
        <v>400</v>
      </c>
      <c r="Q23" s="49">
        <v>200</v>
      </c>
      <c r="R23" s="4">
        <f t="shared" si="1"/>
        <v>2400</v>
      </c>
      <c r="S23" s="50">
        <f t="shared" si="4"/>
        <v>0.24</v>
      </c>
      <c r="T23" s="4">
        <f t="shared" si="2"/>
        <v>38400</v>
      </c>
      <c r="U23">
        <f t="shared" si="3"/>
        <v>3200</v>
      </c>
    </row>
    <row r="24" spans="1:21">
      <c r="A24" s="38">
        <v>1.2</v>
      </c>
      <c r="B24" s="34" t="s">
        <v>44</v>
      </c>
      <c r="C24" s="34" t="s">
        <v>54</v>
      </c>
      <c r="D24" s="33">
        <v>5</v>
      </c>
      <c r="E24" s="33">
        <v>15000</v>
      </c>
      <c r="F24" s="4">
        <v>640</v>
      </c>
      <c r="G24" s="4">
        <v>2236</v>
      </c>
      <c r="H24" s="4">
        <v>320</v>
      </c>
      <c r="I24" s="4">
        <v>1920</v>
      </c>
      <c r="J24" s="4">
        <v>640</v>
      </c>
      <c r="K24" s="4">
        <v>320</v>
      </c>
      <c r="L24" s="4">
        <v>2880</v>
      </c>
      <c r="M24" s="4"/>
      <c r="N24" s="46">
        <v>960</v>
      </c>
      <c r="O24" s="4">
        <v>640</v>
      </c>
      <c r="P24" s="4"/>
      <c r="Q24" s="49">
        <v>2880</v>
      </c>
      <c r="R24" s="4">
        <f t="shared" si="1"/>
        <v>13436</v>
      </c>
      <c r="S24" s="50">
        <f t="shared" si="4"/>
        <v>0.895733333333333</v>
      </c>
      <c r="T24" s="4">
        <f t="shared" si="2"/>
        <v>67180</v>
      </c>
      <c r="U24">
        <f t="shared" si="3"/>
        <v>14400</v>
      </c>
    </row>
    <row r="25" spans="1:21">
      <c r="A25" s="39">
        <v>2.1</v>
      </c>
      <c r="B25" s="34" t="s">
        <v>55</v>
      </c>
      <c r="C25" s="34" t="s">
        <v>56</v>
      </c>
      <c r="D25" s="33">
        <v>4.5</v>
      </c>
      <c r="E25" s="33">
        <v>40000</v>
      </c>
      <c r="F25" s="4">
        <v>2800</v>
      </c>
      <c r="G25" s="4">
        <v>840</v>
      </c>
      <c r="H25" s="4">
        <v>2800</v>
      </c>
      <c r="I25" s="4">
        <v>2800</v>
      </c>
      <c r="J25" s="4">
        <v>2240</v>
      </c>
      <c r="K25" s="4">
        <v>560</v>
      </c>
      <c r="L25" s="4">
        <v>2520</v>
      </c>
      <c r="M25" s="4">
        <v>3076</v>
      </c>
      <c r="N25" s="47">
        <v>1400</v>
      </c>
      <c r="O25" s="4">
        <v>840</v>
      </c>
      <c r="P25" s="4">
        <v>2788</v>
      </c>
      <c r="Q25" s="49">
        <v>2240</v>
      </c>
      <c r="R25" s="4">
        <f t="shared" si="1"/>
        <v>24904</v>
      </c>
      <c r="S25" s="50">
        <f t="shared" si="4"/>
        <v>0.6226</v>
      </c>
      <c r="T25" s="4">
        <f t="shared" si="2"/>
        <v>112068</v>
      </c>
      <c r="U25">
        <f t="shared" si="3"/>
        <v>10080</v>
      </c>
    </row>
    <row r="26" spans="1:21">
      <c r="A26" s="39">
        <v>2.1</v>
      </c>
      <c r="B26" s="35" t="s">
        <v>57</v>
      </c>
      <c r="C26" s="34" t="s">
        <v>58</v>
      </c>
      <c r="D26" s="33">
        <v>1.5</v>
      </c>
      <c r="E26" s="33">
        <v>100000</v>
      </c>
      <c r="F26" s="4">
        <v>2880</v>
      </c>
      <c r="G26" s="4">
        <v>2880</v>
      </c>
      <c r="H26" s="4">
        <v>720</v>
      </c>
      <c r="I26" s="4"/>
      <c r="J26" s="4">
        <v>5760</v>
      </c>
      <c r="K26" s="4">
        <v>8640</v>
      </c>
      <c r="L26" s="4">
        <v>8640</v>
      </c>
      <c r="M26" s="4">
        <v>12240</v>
      </c>
      <c r="N26" s="46">
        <v>8640</v>
      </c>
      <c r="O26" s="4">
        <v>13680</v>
      </c>
      <c r="P26" s="4">
        <v>4320</v>
      </c>
      <c r="Q26" s="49">
        <v>9360</v>
      </c>
      <c r="R26" s="4">
        <f t="shared" si="1"/>
        <v>77760</v>
      </c>
      <c r="S26" s="50">
        <f t="shared" si="4"/>
        <v>0.7776</v>
      </c>
      <c r="T26" s="4">
        <f t="shared" si="2"/>
        <v>116640</v>
      </c>
      <c r="U26">
        <f t="shared" si="3"/>
        <v>14040</v>
      </c>
    </row>
    <row r="27" spans="1:21">
      <c r="A27" s="39">
        <v>2.1</v>
      </c>
      <c r="B27" s="35" t="s">
        <v>59</v>
      </c>
      <c r="C27" s="34" t="s">
        <v>60</v>
      </c>
      <c r="D27" s="33">
        <v>7</v>
      </c>
      <c r="E27" s="33">
        <v>20000</v>
      </c>
      <c r="F27" s="4"/>
      <c r="G27" s="4">
        <v>1600</v>
      </c>
      <c r="H27" s="4">
        <v>3200</v>
      </c>
      <c r="I27" s="4">
        <v>3834</v>
      </c>
      <c r="J27" s="4"/>
      <c r="K27" s="4">
        <v>3840</v>
      </c>
      <c r="L27" s="4"/>
      <c r="M27" s="4">
        <v>3200</v>
      </c>
      <c r="N27" s="46"/>
      <c r="O27" s="4">
        <v>3840</v>
      </c>
      <c r="P27" s="4">
        <v>1280</v>
      </c>
      <c r="Q27" s="49">
        <v>3520</v>
      </c>
      <c r="R27" s="4">
        <f t="shared" si="1"/>
        <v>24314</v>
      </c>
      <c r="S27" s="50">
        <f t="shared" si="4"/>
        <v>1.2157</v>
      </c>
      <c r="T27" s="4">
        <f t="shared" si="2"/>
        <v>170198</v>
      </c>
      <c r="U27">
        <f t="shared" si="3"/>
        <v>24640</v>
      </c>
    </row>
    <row r="28" spans="1:21">
      <c r="A28" s="39">
        <v>2.1</v>
      </c>
      <c r="B28" s="35" t="s">
        <v>61</v>
      </c>
      <c r="C28" s="34" t="s">
        <v>62</v>
      </c>
      <c r="D28" s="33">
        <v>5.5</v>
      </c>
      <c r="E28" s="33">
        <v>20000</v>
      </c>
      <c r="F28" s="4"/>
      <c r="G28" s="4"/>
      <c r="H28" s="4">
        <v>720</v>
      </c>
      <c r="I28" s="4">
        <v>1617</v>
      </c>
      <c r="J28" s="4">
        <v>1440</v>
      </c>
      <c r="K28" s="4">
        <v>2340</v>
      </c>
      <c r="L28" s="4">
        <v>900</v>
      </c>
      <c r="M28" s="4">
        <v>2880</v>
      </c>
      <c r="N28" s="46">
        <v>3058</v>
      </c>
      <c r="O28" s="4">
        <v>2160</v>
      </c>
      <c r="P28" s="4">
        <v>4320</v>
      </c>
      <c r="Q28" s="49">
        <v>1620</v>
      </c>
      <c r="R28" s="4">
        <f t="shared" si="1"/>
        <v>21055</v>
      </c>
      <c r="S28" s="50">
        <f t="shared" si="4"/>
        <v>1.05275</v>
      </c>
      <c r="T28" s="4">
        <f t="shared" si="2"/>
        <v>115802.5</v>
      </c>
      <c r="U28">
        <f t="shared" si="3"/>
        <v>8910</v>
      </c>
    </row>
    <row r="29" spans="1:21">
      <c r="A29" s="39">
        <v>2.1</v>
      </c>
      <c r="B29" s="32" t="s">
        <v>63</v>
      </c>
      <c r="C29" s="32" t="s">
        <v>64</v>
      </c>
      <c r="D29" s="33">
        <v>10.5</v>
      </c>
      <c r="E29" s="33">
        <v>10000</v>
      </c>
      <c r="F29" s="4"/>
      <c r="G29" s="4"/>
      <c r="H29" s="4"/>
      <c r="I29" s="4"/>
      <c r="J29" s="4"/>
      <c r="K29" s="4"/>
      <c r="L29" s="4"/>
      <c r="M29" s="4"/>
      <c r="N29" s="46"/>
      <c r="O29" s="4"/>
      <c r="P29" s="4"/>
      <c r="Q29" s="49"/>
      <c r="R29" s="4">
        <f t="shared" si="1"/>
        <v>0</v>
      </c>
      <c r="S29" s="50">
        <f t="shared" si="4"/>
        <v>0</v>
      </c>
      <c r="T29" s="4">
        <f t="shared" si="2"/>
        <v>0</v>
      </c>
      <c r="U29">
        <f t="shared" si="3"/>
        <v>0</v>
      </c>
    </row>
    <row r="30" spans="1:21">
      <c r="A30" s="39">
        <v>2.1</v>
      </c>
      <c r="B30" s="34" t="s">
        <v>65</v>
      </c>
      <c r="C30" s="34" t="s">
        <v>66</v>
      </c>
      <c r="D30" s="33">
        <v>22</v>
      </c>
      <c r="E30" s="33">
        <v>9090</v>
      </c>
      <c r="F30" s="4"/>
      <c r="G30" s="4"/>
      <c r="H30" s="4"/>
      <c r="I30" s="4"/>
      <c r="J30" s="4"/>
      <c r="K30" s="4"/>
      <c r="L30" s="4"/>
      <c r="M30" s="4"/>
      <c r="N30" s="46"/>
      <c r="O30" s="4"/>
      <c r="P30" s="4"/>
      <c r="Q30" s="49"/>
      <c r="R30" s="4">
        <f t="shared" si="1"/>
        <v>0</v>
      </c>
      <c r="S30" s="50">
        <f t="shared" si="4"/>
        <v>0</v>
      </c>
      <c r="T30" s="4">
        <f t="shared" si="2"/>
        <v>0</v>
      </c>
      <c r="U30">
        <f t="shared" si="3"/>
        <v>0</v>
      </c>
    </row>
    <row r="31" spans="1:21">
      <c r="A31" s="39">
        <v>2.1</v>
      </c>
      <c r="B31" s="34" t="s">
        <v>67</v>
      </c>
      <c r="C31" s="34" t="s">
        <v>68</v>
      </c>
      <c r="D31" s="33">
        <v>10</v>
      </c>
      <c r="E31" s="33">
        <v>10000</v>
      </c>
      <c r="F31" s="4"/>
      <c r="G31" s="4"/>
      <c r="H31" s="4"/>
      <c r="I31" s="4">
        <v>320</v>
      </c>
      <c r="J31" s="4"/>
      <c r="K31" s="4">
        <v>320</v>
      </c>
      <c r="L31" s="4"/>
      <c r="M31" s="4">
        <v>320</v>
      </c>
      <c r="N31" s="46"/>
      <c r="O31" s="4"/>
      <c r="P31" s="4">
        <v>320</v>
      </c>
      <c r="Q31" s="49"/>
      <c r="R31" s="4">
        <f t="shared" si="1"/>
        <v>1280</v>
      </c>
      <c r="S31" s="50">
        <f t="shared" si="4"/>
        <v>0.128</v>
      </c>
      <c r="T31" s="4">
        <f t="shared" si="2"/>
        <v>12800</v>
      </c>
      <c r="U31">
        <f t="shared" si="3"/>
        <v>0</v>
      </c>
    </row>
    <row r="32" spans="1:21">
      <c r="A32" s="39">
        <v>2.1</v>
      </c>
      <c r="B32" s="34" t="s">
        <v>69</v>
      </c>
      <c r="C32" s="34" t="s">
        <v>70</v>
      </c>
      <c r="D32" s="33">
        <v>22</v>
      </c>
      <c r="E32" s="33">
        <v>5000</v>
      </c>
      <c r="F32" s="4"/>
      <c r="G32" s="4"/>
      <c r="H32" s="4"/>
      <c r="I32" s="4"/>
      <c r="J32" s="4"/>
      <c r="K32" s="4"/>
      <c r="L32" s="4"/>
      <c r="M32" s="4"/>
      <c r="N32" s="46"/>
      <c r="O32" s="4"/>
      <c r="P32" s="4"/>
      <c r="Q32" s="49"/>
      <c r="R32" s="4">
        <f t="shared" si="1"/>
        <v>0</v>
      </c>
      <c r="S32" s="50">
        <f t="shared" si="4"/>
        <v>0</v>
      </c>
      <c r="T32" s="4">
        <f t="shared" si="2"/>
        <v>0</v>
      </c>
      <c r="U32">
        <f t="shared" si="3"/>
        <v>0</v>
      </c>
    </row>
    <row r="33" spans="1:21">
      <c r="A33" s="39">
        <v>2.1</v>
      </c>
      <c r="B33" s="35" t="s">
        <v>71</v>
      </c>
      <c r="C33" s="34"/>
      <c r="D33" s="33">
        <v>18</v>
      </c>
      <c r="E33" s="33">
        <v>5000</v>
      </c>
      <c r="F33" s="4"/>
      <c r="G33" s="4"/>
      <c r="H33" s="4"/>
      <c r="I33" s="4"/>
      <c r="J33" s="4"/>
      <c r="K33" s="4"/>
      <c r="L33" s="4"/>
      <c r="M33" s="4"/>
      <c r="N33" s="46"/>
      <c r="O33" s="4"/>
      <c r="P33" s="4"/>
      <c r="Q33" s="49"/>
      <c r="R33" s="4">
        <f t="shared" si="1"/>
        <v>0</v>
      </c>
      <c r="S33" s="50">
        <f t="shared" si="4"/>
        <v>0</v>
      </c>
      <c r="T33" s="4">
        <f t="shared" si="2"/>
        <v>0</v>
      </c>
      <c r="U33">
        <f t="shared" si="3"/>
        <v>0</v>
      </c>
    </row>
    <row r="34" spans="1:21">
      <c r="A34" s="39">
        <v>2.1</v>
      </c>
      <c r="B34" s="35" t="s">
        <v>72</v>
      </c>
      <c r="C34" s="34" t="s">
        <v>73</v>
      </c>
      <c r="D34" s="33">
        <v>3.7</v>
      </c>
      <c r="E34" s="33">
        <v>10000</v>
      </c>
      <c r="F34" s="4"/>
      <c r="G34" s="4">
        <v>480</v>
      </c>
      <c r="H34" s="4"/>
      <c r="I34" s="4">
        <v>480</v>
      </c>
      <c r="J34" s="4"/>
      <c r="K34" s="4"/>
      <c r="L34" s="4">
        <v>240</v>
      </c>
      <c r="M34" s="4">
        <v>80</v>
      </c>
      <c r="N34" s="46"/>
      <c r="O34" s="4"/>
      <c r="P34" s="4"/>
      <c r="Q34" s="49">
        <v>160</v>
      </c>
      <c r="R34" s="4">
        <f t="shared" si="1"/>
        <v>1440</v>
      </c>
      <c r="S34" s="50">
        <f t="shared" si="4"/>
        <v>0.144</v>
      </c>
      <c r="T34" s="4">
        <f t="shared" si="2"/>
        <v>5328</v>
      </c>
      <c r="U34">
        <f t="shared" si="3"/>
        <v>592</v>
      </c>
    </row>
    <row r="35" spans="1:21">
      <c r="A35" s="39">
        <v>2.1</v>
      </c>
      <c r="B35" s="40" t="s">
        <v>74</v>
      </c>
      <c r="C35" s="36" t="s">
        <v>75</v>
      </c>
      <c r="D35" s="13">
        <v>3</v>
      </c>
      <c r="E35" s="33"/>
      <c r="F35" s="4"/>
      <c r="G35" s="4"/>
      <c r="H35" s="4"/>
      <c r="I35" s="4">
        <v>400</v>
      </c>
      <c r="J35" s="4"/>
      <c r="K35" s="4"/>
      <c r="L35" s="4"/>
      <c r="M35" s="4"/>
      <c r="N35" s="46"/>
      <c r="O35" s="4"/>
      <c r="P35" s="4"/>
      <c r="Q35" s="49"/>
      <c r="R35" s="4">
        <f t="shared" si="1"/>
        <v>400</v>
      </c>
      <c r="S35" s="50" t="e">
        <f t="shared" si="4"/>
        <v>#DIV/0!</v>
      </c>
      <c r="T35" s="4">
        <f t="shared" si="2"/>
        <v>1200</v>
      </c>
      <c r="U35">
        <f t="shared" si="3"/>
        <v>0</v>
      </c>
    </row>
    <row r="36" spans="1:21">
      <c r="A36" s="41">
        <v>2.2</v>
      </c>
      <c r="B36" s="35" t="s">
        <v>76</v>
      </c>
      <c r="C36" s="34" t="s">
        <v>77</v>
      </c>
      <c r="D36" s="33">
        <v>20</v>
      </c>
      <c r="E36" s="33">
        <v>10000</v>
      </c>
      <c r="F36" s="4">
        <v>600</v>
      </c>
      <c r="G36" s="4">
        <v>480</v>
      </c>
      <c r="H36" s="4">
        <v>240</v>
      </c>
      <c r="I36" s="4">
        <v>240</v>
      </c>
      <c r="J36" s="4"/>
      <c r="K36" s="4">
        <v>120</v>
      </c>
      <c r="L36" s="4">
        <v>240</v>
      </c>
      <c r="M36" s="4"/>
      <c r="N36" s="46"/>
      <c r="O36" s="4"/>
      <c r="P36" s="4">
        <v>720</v>
      </c>
      <c r="Q36" s="49">
        <v>2760</v>
      </c>
      <c r="R36" s="4">
        <f t="shared" ref="R36:R53" si="5">SUM(F36:Q36)</f>
        <v>5400</v>
      </c>
      <c r="S36" s="50">
        <f t="shared" si="4"/>
        <v>0.54</v>
      </c>
      <c r="T36" s="4">
        <f t="shared" si="2"/>
        <v>108000</v>
      </c>
      <c r="U36">
        <f t="shared" ref="U36:U53" si="6">Q36*D36</f>
        <v>55200</v>
      </c>
    </row>
    <row r="37" spans="1:21">
      <c r="A37" s="41">
        <v>2.2</v>
      </c>
      <c r="B37" s="35" t="s">
        <v>78</v>
      </c>
      <c r="C37" s="34" t="s">
        <v>79</v>
      </c>
      <c r="D37" s="33">
        <v>7.5</v>
      </c>
      <c r="E37" s="44">
        <v>14000</v>
      </c>
      <c r="F37" s="4">
        <v>840</v>
      </c>
      <c r="G37" s="4">
        <v>280</v>
      </c>
      <c r="H37" s="4">
        <v>1400</v>
      </c>
      <c r="I37" s="4">
        <v>2240</v>
      </c>
      <c r="J37" s="4">
        <v>1400</v>
      </c>
      <c r="K37" s="4"/>
      <c r="L37" s="4">
        <v>1120</v>
      </c>
      <c r="M37" s="4">
        <v>1400</v>
      </c>
      <c r="N37" s="46"/>
      <c r="O37" s="4">
        <v>1680</v>
      </c>
      <c r="P37" s="4">
        <v>2240</v>
      </c>
      <c r="Q37" s="49"/>
      <c r="R37" s="4">
        <f t="shared" si="5"/>
        <v>12600</v>
      </c>
      <c r="S37" s="50">
        <f t="shared" si="4"/>
        <v>0.9</v>
      </c>
      <c r="T37" s="4">
        <f t="shared" si="2"/>
        <v>94500</v>
      </c>
      <c r="U37">
        <f t="shared" si="6"/>
        <v>0</v>
      </c>
    </row>
    <row r="38" spans="1:21">
      <c r="A38" s="41">
        <v>2.2</v>
      </c>
      <c r="B38" s="34" t="s">
        <v>80</v>
      </c>
      <c r="C38" s="34" t="s">
        <v>81</v>
      </c>
      <c r="D38" s="33">
        <v>4.6</v>
      </c>
      <c r="E38" s="33">
        <v>20000</v>
      </c>
      <c r="F38" s="4">
        <v>1960</v>
      </c>
      <c r="G38" s="4">
        <v>560</v>
      </c>
      <c r="H38" s="4">
        <v>560</v>
      </c>
      <c r="I38" s="4">
        <v>280</v>
      </c>
      <c r="J38" s="4">
        <v>1120</v>
      </c>
      <c r="K38" s="4"/>
      <c r="L38" s="4">
        <v>3640</v>
      </c>
      <c r="M38" s="4">
        <v>4480</v>
      </c>
      <c r="N38" s="46">
        <v>4200</v>
      </c>
      <c r="O38" s="4">
        <v>3080</v>
      </c>
      <c r="P38" s="4">
        <v>6720</v>
      </c>
      <c r="Q38" s="49">
        <v>3360</v>
      </c>
      <c r="R38" s="4">
        <f t="shared" si="5"/>
        <v>29960</v>
      </c>
      <c r="S38" s="50">
        <f t="shared" si="4"/>
        <v>1.498</v>
      </c>
      <c r="T38" s="4">
        <f t="shared" si="2"/>
        <v>137816</v>
      </c>
      <c r="U38">
        <f t="shared" si="6"/>
        <v>15456</v>
      </c>
    </row>
    <row r="39" spans="1:21">
      <c r="A39" s="41">
        <v>2.2</v>
      </c>
      <c r="B39" s="34" t="s">
        <v>55</v>
      </c>
      <c r="C39" s="34" t="s">
        <v>82</v>
      </c>
      <c r="D39" s="33">
        <v>4.2</v>
      </c>
      <c r="E39" s="33">
        <v>20000</v>
      </c>
      <c r="F39" s="4">
        <v>840</v>
      </c>
      <c r="G39" s="4">
        <v>280</v>
      </c>
      <c r="H39" s="4"/>
      <c r="I39" s="4">
        <v>840</v>
      </c>
      <c r="J39" s="4">
        <v>840</v>
      </c>
      <c r="K39" s="4">
        <v>1120</v>
      </c>
      <c r="L39" s="4"/>
      <c r="M39" s="4">
        <v>280</v>
      </c>
      <c r="N39" s="46"/>
      <c r="O39" s="4">
        <v>560</v>
      </c>
      <c r="P39" s="4"/>
      <c r="Q39" s="49"/>
      <c r="R39" s="4">
        <f t="shared" si="5"/>
        <v>4760</v>
      </c>
      <c r="S39" s="50">
        <f t="shared" si="4"/>
        <v>0.238</v>
      </c>
      <c r="T39" s="4">
        <f t="shared" si="2"/>
        <v>19992</v>
      </c>
      <c r="U39">
        <f t="shared" si="6"/>
        <v>0</v>
      </c>
    </row>
    <row r="40" spans="1:21">
      <c r="A40" s="41">
        <v>2.2</v>
      </c>
      <c r="B40" s="34" t="s">
        <v>80</v>
      </c>
      <c r="C40" s="34" t="s">
        <v>83</v>
      </c>
      <c r="D40" s="33">
        <v>6.5</v>
      </c>
      <c r="E40" s="33">
        <v>12000</v>
      </c>
      <c r="F40" s="4">
        <v>1000</v>
      </c>
      <c r="G40" s="4">
        <v>600</v>
      </c>
      <c r="H40" s="4"/>
      <c r="I40" s="4">
        <v>400</v>
      </c>
      <c r="J40" s="4">
        <v>1000</v>
      </c>
      <c r="K40" s="4">
        <v>400</v>
      </c>
      <c r="L40" s="4">
        <v>400</v>
      </c>
      <c r="M40" s="4">
        <v>4000</v>
      </c>
      <c r="N40" s="46">
        <v>6200</v>
      </c>
      <c r="O40" s="4">
        <v>4200</v>
      </c>
      <c r="P40" s="4">
        <v>6000</v>
      </c>
      <c r="Q40" s="49">
        <v>5800</v>
      </c>
      <c r="R40" s="4">
        <f t="shared" si="5"/>
        <v>30000</v>
      </c>
      <c r="S40" s="50">
        <f t="shared" si="4"/>
        <v>2.5</v>
      </c>
      <c r="T40" s="4">
        <f t="shared" si="2"/>
        <v>195000</v>
      </c>
      <c r="U40">
        <f t="shared" si="6"/>
        <v>37700</v>
      </c>
    </row>
    <row r="41" spans="1:21">
      <c r="A41" s="41">
        <v>2.2</v>
      </c>
      <c r="B41" s="34" t="s">
        <v>84</v>
      </c>
      <c r="C41" s="34" t="s">
        <v>85</v>
      </c>
      <c r="D41" s="33">
        <v>7</v>
      </c>
      <c r="E41" s="33">
        <v>10000</v>
      </c>
      <c r="F41" s="4">
        <v>400</v>
      </c>
      <c r="G41" s="4">
        <v>200</v>
      </c>
      <c r="H41" s="4">
        <v>600</v>
      </c>
      <c r="I41" s="4">
        <v>600</v>
      </c>
      <c r="J41" s="4">
        <v>200</v>
      </c>
      <c r="K41" s="4">
        <v>200</v>
      </c>
      <c r="L41" s="4">
        <v>200</v>
      </c>
      <c r="M41" s="4"/>
      <c r="N41" s="46"/>
      <c r="O41" s="4">
        <v>1400</v>
      </c>
      <c r="P41" s="4">
        <v>600</v>
      </c>
      <c r="Q41" s="49">
        <v>600</v>
      </c>
      <c r="R41" s="4">
        <f t="shared" si="5"/>
        <v>5000</v>
      </c>
      <c r="S41" s="50">
        <f t="shared" si="4"/>
        <v>0.5</v>
      </c>
      <c r="T41" s="4">
        <f t="shared" si="2"/>
        <v>35000</v>
      </c>
      <c r="U41">
        <f t="shared" si="6"/>
        <v>4200</v>
      </c>
    </row>
    <row r="42" spans="1:21">
      <c r="A42" s="41">
        <v>2.2</v>
      </c>
      <c r="B42" s="35" t="s">
        <v>86</v>
      </c>
      <c r="C42" s="34" t="s">
        <v>87</v>
      </c>
      <c r="D42" s="33">
        <v>25</v>
      </c>
      <c r="E42" s="33">
        <v>2000</v>
      </c>
      <c r="F42" s="4"/>
      <c r="G42" s="4"/>
      <c r="H42" s="4"/>
      <c r="I42" s="4"/>
      <c r="J42" s="4"/>
      <c r="K42" s="4"/>
      <c r="L42" s="4"/>
      <c r="M42" s="4"/>
      <c r="N42" s="46"/>
      <c r="O42" s="4"/>
      <c r="P42" s="4">
        <v>960</v>
      </c>
      <c r="Q42" s="49">
        <v>3360</v>
      </c>
      <c r="R42" s="4">
        <f t="shared" si="5"/>
        <v>4320</v>
      </c>
      <c r="S42" s="50">
        <f t="shared" si="4"/>
        <v>2.16</v>
      </c>
      <c r="T42" s="4">
        <f t="shared" si="2"/>
        <v>108000</v>
      </c>
      <c r="U42">
        <f t="shared" si="6"/>
        <v>84000</v>
      </c>
    </row>
    <row r="43" spans="1:21">
      <c r="A43" s="41">
        <v>2.2</v>
      </c>
      <c r="B43" s="35" t="s">
        <v>88</v>
      </c>
      <c r="C43" s="34" t="s">
        <v>89</v>
      </c>
      <c r="D43" s="33">
        <v>5</v>
      </c>
      <c r="E43" s="33">
        <v>10000</v>
      </c>
      <c r="F43" s="4"/>
      <c r="G43" s="4"/>
      <c r="H43" s="4"/>
      <c r="I43" s="4"/>
      <c r="J43" s="4"/>
      <c r="K43" s="4"/>
      <c r="L43" s="4"/>
      <c r="M43" s="4"/>
      <c r="N43" s="46"/>
      <c r="O43" s="4"/>
      <c r="P43" s="4"/>
      <c r="Q43" s="49"/>
      <c r="R43" s="4">
        <f t="shared" si="5"/>
        <v>0</v>
      </c>
      <c r="S43" s="50">
        <f t="shared" si="4"/>
        <v>0</v>
      </c>
      <c r="T43" s="4">
        <f t="shared" si="2"/>
        <v>0</v>
      </c>
      <c r="U43">
        <f t="shared" si="6"/>
        <v>0</v>
      </c>
    </row>
    <row r="44" spans="1:21">
      <c r="A44" s="41">
        <v>2.2</v>
      </c>
      <c r="B44" s="35" t="s">
        <v>90</v>
      </c>
      <c r="C44" s="34" t="s">
        <v>91</v>
      </c>
      <c r="D44" s="33">
        <v>9</v>
      </c>
      <c r="E44" s="33">
        <v>5000</v>
      </c>
      <c r="F44" s="4">
        <v>320</v>
      </c>
      <c r="G44" s="4">
        <v>640</v>
      </c>
      <c r="H44" s="4">
        <v>640</v>
      </c>
      <c r="I44" s="4"/>
      <c r="J44" s="4">
        <v>640</v>
      </c>
      <c r="K44" s="4">
        <v>320</v>
      </c>
      <c r="L44" s="4">
        <v>640</v>
      </c>
      <c r="M44" s="4"/>
      <c r="N44" s="46">
        <v>640</v>
      </c>
      <c r="O44" s="4">
        <v>320</v>
      </c>
      <c r="P44" s="4">
        <v>320</v>
      </c>
      <c r="Q44" s="49">
        <v>637</v>
      </c>
      <c r="R44" s="4">
        <f t="shared" si="5"/>
        <v>5117</v>
      </c>
      <c r="S44" s="50">
        <f t="shared" si="4"/>
        <v>1.0234</v>
      </c>
      <c r="T44" s="4">
        <f t="shared" si="2"/>
        <v>46053</v>
      </c>
      <c r="U44">
        <f t="shared" si="6"/>
        <v>5733</v>
      </c>
    </row>
    <row r="45" spans="1:21">
      <c r="A45" s="41">
        <v>2.2</v>
      </c>
      <c r="B45" s="35" t="s">
        <v>92</v>
      </c>
      <c r="C45" s="34" t="s">
        <v>85</v>
      </c>
      <c r="D45" s="33">
        <v>3.7</v>
      </c>
      <c r="E45" s="33">
        <v>12000</v>
      </c>
      <c r="F45" s="4">
        <v>400</v>
      </c>
      <c r="G45" s="4">
        <v>1000</v>
      </c>
      <c r="H45" s="4">
        <v>1000</v>
      </c>
      <c r="I45" s="4">
        <v>1600</v>
      </c>
      <c r="J45" s="4">
        <v>1600</v>
      </c>
      <c r="K45" s="4">
        <v>200</v>
      </c>
      <c r="L45" s="4">
        <v>800</v>
      </c>
      <c r="M45" s="4">
        <v>1600</v>
      </c>
      <c r="N45" s="46">
        <v>1400</v>
      </c>
      <c r="O45" s="4">
        <v>2994</v>
      </c>
      <c r="P45" s="4">
        <v>2997</v>
      </c>
      <c r="Q45" s="49">
        <v>6200</v>
      </c>
      <c r="R45" s="4">
        <f t="shared" si="5"/>
        <v>21791</v>
      </c>
      <c r="S45" s="50">
        <f t="shared" si="4"/>
        <v>1.81591666666667</v>
      </c>
      <c r="T45" s="4">
        <f t="shared" si="2"/>
        <v>80626.7</v>
      </c>
      <c r="U45">
        <f t="shared" si="6"/>
        <v>22940</v>
      </c>
    </row>
    <row r="46" spans="1:21">
      <c r="A46" s="41">
        <v>2.2</v>
      </c>
      <c r="B46" s="34" t="s">
        <v>55</v>
      </c>
      <c r="C46" s="34" t="s">
        <v>93</v>
      </c>
      <c r="D46" s="33">
        <v>3.5</v>
      </c>
      <c r="E46" s="33">
        <v>9000</v>
      </c>
      <c r="F46" s="4"/>
      <c r="G46" s="4">
        <v>720</v>
      </c>
      <c r="H46" s="4">
        <v>720</v>
      </c>
      <c r="I46" s="4">
        <v>720</v>
      </c>
      <c r="J46" s="4">
        <v>360</v>
      </c>
      <c r="K46" s="4">
        <v>1080</v>
      </c>
      <c r="L46" s="4">
        <v>360</v>
      </c>
      <c r="M46" s="4">
        <v>720</v>
      </c>
      <c r="N46" s="46">
        <v>1080</v>
      </c>
      <c r="O46" s="4">
        <v>360</v>
      </c>
      <c r="P46" s="4">
        <v>720</v>
      </c>
      <c r="Q46" s="49">
        <v>720</v>
      </c>
      <c r="R46" s="4">
        <f t="shared" si="5"/>
        <v>7560</v>
      </c>
      <c r="S46" s="50">
        <f t="shared" si="4"/>
        <v>0.84</v>
      </c>
      <c r="T46" s="4">
        <f t="shared" si="2"/>
        <v>26460</v>
      </c>
      <c r="U46">
        <f t="shared" si="6"/>
        <v>2520</v>
      </c>
    </row>
    <row r="47" spans="1:21">
      <c r="A47" s="41">
        <v>2.2</v>
      </c>
      <c r="B47" s="34" t="s">
        <v>84</v>
      </c>
      <c r="C47" s="34" t="s">
        <v>79</v>
      </c>
      <c r="D47" s="33">
        <v>9</v>
      </c>
      <c r="E47" s="33">
        <v>3000</v>
      </c>
      <c r="F47" s="4">
        <v>240</v>
      </c>
      <c r="G47" s="4"/>
      <c r="H47" s="4"/>
      <c r="I47" s="4"/>
      <c r="J47" s="4"/>
      <c r="K47" s="4"/>
      <c r="L47" s="4"/>
      <c r="M47" s="4"/>
      <c r="N47" s="46"/>
      <c r="O47" s="4"/>
      <c r="P47" s="4"/>
      <c r="Q47" s="49">
        <v>240</v>
      </c>
      <c r="R47" s="4">
        <f t="shared" si="5"/>
        <v>480</v>
      </c>
      <c r="S47" s="50">
        <f t="shared" si="4"/>
        <v>0.16</v>
      </c>
      <c r="T47" s="4">
        <f t="shared" si="2"/>
        <v>4320</v>
      </c>
      <c r="U47">
        <f t="shared" si="6"/>
        <v>2160</v>
      </c>
    </row>
    <row r="48" spans="1:21">
      <c r="A48" s="41">
        <v>2.2</v>
      </c>
      <c r="B48" s="35" t="s">
        <v>30</v>
      </c>
      <c r="C48" s="34" t="s">
        <v>94</v>
      </c>
      <c r="D48" s="13">
        <v>7.2</v>
      </c>
      <c r="E48" s="33"/>
      <c r="F48" s="4"/>
      <c r="G48" s="4"/>
      <c r="H48" s="4"/>
      <c r="I48" s="4"/>
      <c r="J48" s="4">
        <v>144</v>
      </c>
      <c r="K48" s="4"/>
      <c r="L48" s="4">
        <v>144</v>
      </c>
      <c r="M48" s="4">
        <v>432</v>
      </c>
      <c r="N48" s="46"/>
      <c r="O48" s="4"/>
      <c r="P48" s="4"/>
      <c r="Q48" s="49"/>
      <c r="R48" s="4">
        <f t="shared" si="5"/>
        <v>720</v>
      </c>
      <c r="S48" s="50" t="e">
        <f t="shared" si="4"/>
        <v>#DIV/0!</v>
      </c>
      <c r="T48" s="4">
        <f t="shared" si="2"/>
        <v>5184</v>
      </c>
      <c r="U48">
        <f t="shared" si="6"/>
        <v>0</v>
      </c>
    </row>
    <row r="49" spans="1:21">
      <c r="A49" s="41">
        <v>2.2</v>
      </c>
      <c r="B49" s="36" t="s">
        <v>95</v>
      </c>
      <c r="C49" s="36" t="s">
        <v>96</v>
      </c>
      <c r="D49" s="13">
        <v>8</v>
      </c>
      <c r="E49" s="33"/>
      <c r="F49" s="4"/>
      <c r="G49" s="4"/>
      <c r="H49" s="4"/>
      <c r="I49" s="4"/>
      <c r="J49" s="4"/>
      <c r="K49" s="4">
        <v>3000</v>
      </c>
      <c r="L49" s="4"/>
      <c r="M49" s="4"/>
      <c r="N49" s="46"/>
      <c r="O49" s="4"/>
      <c r="P49" s="4"/>
      <c r="Q49" s="49"/>
      <c r="R49" s="4">
        <f t="shared" si="5"/>
        <v>3000</v>
      </c>
      <c r="S49" s="50" t="e">
        <f t="shared" si="4"/>
        <v>#DIV/0!</v>
      </c>
      <c r="T49" s="4">
        <f t="shared" si="2"/>
        <v>24000</v>
      </c>
      <c r="U49">
        <f t="shared" si="6"/>
        <v>0</v>
      </c>
    </row>
    <row r="50" spans="1:21">
      <c r="A50" s="42"/>
      <c r="B50" s="35" t="s">
        <v>32</v>
      </c>
      <c r="C50" s="34" t="s">
        <v>97</v>
      </c>
      <c r="D50" s="13">
        <v>4</v>
      </c>
      <c r="E50" s="33"/>
      <c r="F50" s="4"/>
      <c r="G50" s="4"/>
      <c r="H50" s="4"/>
      <c r="I50" s="4"/>
      <c r="J50" s="4"/>
      <c r="K50" s="4"/>
      <c r="L50" s="4"/>
      <c r="M50" s="4"/>
      <c r="N50" s="46">
        <v>600</v>
      </c>
      <c r="O50" s="4">
        <v>600</v>
      </c>
      <c r="P50" s="4">
        <v>3000</v>
      </c>
      <c r="Q50" s="49">
        <v>7200</v>
      </c>
      <c r="R50" s="4">
        <f t="shared" si="5"/>
        <v>11400</v>
      </c>
      <c r="S50" s="50" t="e">
        <f t="shared" si="4"/>
        <v>#DIV/0!</v>
      </c>
      <c r="T50" s="4">
        <f t="shared" si="2"/>
        <v>45600</v>
      </c>
      <c r="U50">
        <f t="shared" si="6"/>
        <v>28800</v>
      </c>
    </row>
    <row r="51" spans="1:21">
      <c r="A51" s="42"/>
      <c r="B51" s="43" t="s">
        <v>98</v>
      </c>
      <c r="C51" s="32" t="s">
        <v>99</v>
      </c>
      <c r="D51" s="13">
        <v>2.7</v>
      </c>
      <c r="E51" s="33"/>
      <c r="F51" s="4"/>
      <c r="G51" s="4"/>
      <c r="H51" s="4"/>
      <c r="I51" s="4"/>
      <c r="J51" s="4"/>
      <c r="K51" s="4"/>
      <c r="L51" s="4"/>
      <c r="M51" s="4"/>
      <c r="N51" s="4"/>
      <c r="O51" s="4">
        <v>360</v>
      </c>
      <c r="P51" s="4">
        <v>720</v>
      </c>
      <c r="Q51" s="49">
        <v>2880</v>
      </c>
      <c r="R51" s="4">
        <f t="shared" si="5"/>
        <v>3960</v>
      </c>
      <c r="S51" s="50" t="e">
        <f t="shared" si="4"/>
        <v>#DIV/0!</v>
      </c>
      <c r="T51" s="4">
        <f t="shared" si="2"/>
        <v>10692</v>
      </c>
      <c r="U51">
        <f t="shared" si="6"/>
        <v>7776</v>
      </c>
    </row>
    <row r="52" spans="1:21">
      <c r="A52" s="42"/>
      <c r="B52" s="43" t="s">
        <v>100</v>
      </c>
      <c r="C52" s="32" t="s">
        <v>101</v>
      </c>
      <c r="D52" s="13">
        <v>8.5</v>
      </c>
      <c r="E52" s="33"/>
      <c r="F52" s="4"/>
      <c r="G52" s="4"/>
      <c r="H52" s="4"/>
      <c r="I52" s="4"/>
      <c r="J52" s="4"/>
      <c r="K52" s="4"/>
      <c r="L52" s="4"/>
      <c r="M52" s="4"/>
      <c r="N52" s="4"/>
      <c r="O52" s="48">
        <v>400</v>
      </c>
      <c r="P52" s="4">
        <v>800</v>
      </c>
      <c r="Q52" s="49">
        <v>400</v>
      </c>
      <c r="R52" s="4">
        <f t="shared" si="5"/>
        <v>1600</v>
      </c>
      <c r="S52" s="50" t="e">
        <f t="shared" si="4"/>
        <v>#DIV/0!</v>
      </c>
      <c r="T52" s="4">
        <f t="shared" si="2"/>
        <v>13600</v>
      </c>
      <c r="U52">
        <f t="shared" si="6"/>
        <v>3400</v>
      </c>
    </row>
    <row r="53" spans="1:21">
      <c r="A53" s="42"/>
      <c r="B53" s="43" t="s">
        <v>102</v>
      </c>
      <c r="C53" s="32" t="s">
        <v>103</v>
      </c>
      <c r="D53" s="13">
        <v>6.2</v>
      </c>
      <c r="E53" s="33"/>
      <c r="F53" s="4"/>
      <c r="G53" s="4"/>
      <c r="H53" s="4"/>
      <c r="I53" s="4"/>
      <c r="J53" s="4"/>
      <c r="K53" s="4"/>
      <c r="L53" s="4"/>
      <c r="M53" s="4"/>
      <c r="N53" s="4"/>
      <c r="O53" s="5"/>
      <c r="P53" s="4"/>
      <c r="Q53" s="49">
        <v>200</v>
      </c>
      <c r="R53" s="4">
        <f t="shared" si="5"/>
        <v>200</v>
      </c>
      <c r="S53" s="50" t="e">
        <f t="shared" si="4"/>
        <v>#DIV/0!</v>
      </c>
      <c r="T53" s="4">
        <f t="shared" si="2"/>
        <v>1240</v>
      </c>
      <c r="U53">
        <f t="shared" si="6"/>
        <v>1240</v>
      </c>
    </row>
    <row r="54" spans="2:18">
      <c r="B54" s="23" t="s">
        <v>17</v>
      </c>
      <c r="F54">
        <f>SUM(F3:F53)</f>
        <v>154476</v>
      </c>
      <c r="G54">
        <f t="shared" ref="G54:R54" si="7">SUM(G3:G53)</f>
        <v>75822</v>
      </c>
      <c r="H54">
        <f t="shared" si="7"/>
        <v>139554</v>
      </c>
      <c r="I54">
        <f t="shared" si="7"/>
        <v>451699</v>
      </c>
      <c r="J54">
        <f t="shared" si="7"/>
        <v>179510</v>
      </c>
      <c r="K54">
        <f t="shared" si="7"/>
        <v>205536</v>
      </c>
      <c r="L54">
        <f t="shared" si="7"/>
        <v>223460</v>
      </c>
      <c r="M54">
        <f t="shared" si="7"/>
        <v>243286</v>
      </c>
      <c r="N54">
        <f t="shared" si="7"/>
        <v>275256</v>
      </c>
      <c r="O54">
        <f t="shared" si="7"/>
        <v>217585</v>
      </c>
      <c r="P54">
        <f t="shared" si="7"/>
        <v>237548</v>
      </c>
      <c r="Q54">
        <f t="shared" si="7"/>
        <v>264093</v>
      </c>
      <c r="R54" s="51">
        <f t="shared" si="7"/>
        <v>2667825</v>
      </c>
    </row>
  </sheetData>
  <autoFilter xmlns:etc="http://www.wps.cn/officeDocument/2017/etCustomData" ref="A2:U54" etc:filterBottomFollowUsedRange="0">
    <extLst/>
  </autoFilter>
  <conditionalFormatting sqref="U1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{6708289d-889a-4843-a577-10b4e843d782}</x14:id>
        </ext>
      </extLst>
    </cfRule>
  </conditionalFormatting>
  <conditionalFormatting sqref="S3:S5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{5c22de29-de9b-45ce-99fc-fd3acd0753ea}</x14:id>
        </ext>
      </extLst>
    </cfRule>
  </conditionalFormatting>
  <pageMargins left="0.75" right="0.75" top="0.550694444444444" bottom="0.511805555555556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08289d-889a-4843-a577-10b4e843d7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U10</xm:sqref>
        </x14:conditionalFormatting>
        <x14:conditionalFormatting xmlns:xm="http://schemas.microsoft.com/office/excel/2006/main">
          <x14:cfRule type="dataBar" id="{5c22de29-de9b-45ce-99fc-fd3acd0753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S3:S53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E17" sqref="E17"/>
    </sheetView>
  </sheetViews>
  <sheetFormatPr defaultColWidth="9.22115384615385" defaultRowHeight="16.8" outlineLevelCol="5"/>
  <cols>
    <col min="1" max="1" width="27.3076923076923"/>
    <col min="2" max="2" width="22.9038461538462" customWidth="1"/>
    <col min="3" max="3" width="22.5961538461538" customWidth="1"/>
    <col min="4" max="4" width="18.1057692307692" customWidth="1"/>
    <col min="5" max="5" width="22.4326923076923" customWidth="1"/>
    <col min="6" max="6" width="21.9615384615385" customWidth="1"/>
  </cols>
  <sheetData>
    <row r="1" ht="54" customHeight="1" spans="1:6">
      <c r="A1" s="12" t="s">
        <v>104</v>
      </c>
      <c r="B1" s="12"/>
      <c r="C1" s="12"/>
      <c r="D1" s="12"/>
      <c r="E1" s="12"/>
      <c r="F1" s="12"/>
    </row>
    <row r="2" spans="1:6">
      <c r="A2" s="4"/>
      <c r="B2" s="4" t="s">
        <v>105</v>
      </c>
      <c r="C2" s="4" t="s">
        <v>106</v>
      </c>
      <c r="D2" s="4"/>
      <c r="E2" s="18" t="s">
        <v>107</v>
      </c>
      <c r="F2" s="18" t="s">
        <v>108</v>
      </c>
    </row>
    <row r="3" spans="1:6">
      <c r="A3" s="4" t="s">
        <v>1</v>
      </c>
      <c r="B3" s="4" t="s">
        <v>109</v>
      </c>
      <c r="C3" s="4" t="s">
        <v>110</v>
      </c>
      <c r="D3" s="13" t="s">
        <v>111</v>
      </c>
      <c r="E3" s="10"/>
      <c r="F3" s="10"/>
    </row>
    <row r="4" spans="1:6">
      <c r="A4" s="4" t="s">
        <v>41</v>
      </c>
      <c r="B4" s="4">
        <v>56976</v>
      </c>
      <c r="C4" s="4">
        <v>50400</v>
      </c>
      <c r="D4" s="4">
        <f>B4-C4</f>
        <v>6576</v>
      </c>
      <c r="E4" s="19">
        <f>D4/3194653.1</f>
        <v>0.00205843945935789</v>
      </c>
      <c r="F4" s="20">
        <f>D4/1809093</f>
        <v>0.00363497067314947</v>
      </c>
    </row>
    <row r="5" spans="1:6">
      <c r="A5" s="4" t="s">
        <v>80</v>
      </c>
      <c r="B5" s="4">
        <v>39676</v>
      </c>
      <c r="C5" s="4">
        <v>38320</v>
      </c>
      <c r="D5" s="4">
        <f t="shared" ref="D5:D32" si="0">B5-C5</f>
        <v>1356</v>
      </c>
      <c r="E5" s="19">
        <f>D5/3194653.1</f>
        <v>0.000424459231582922</v>
      </c>
      <c r="F5" s="20">
        <f t="shared" ref="F5:F16" si="1">D5/1809093</f>
        <v>0.000749546872383012</v>
      </c>
    </row>
    <row r="6" spans="1:6">
      <c r="A6" s="4" t="s">
        <v>90</v>
      </c>
      <c r="B6" s="4">
        <v>20160</v>
      </c>
      <c r="C6" s="4">
        <v>23100</v>
      </c>
      <c r="D6" s="4">
        <f t="shared" si="0"/>
        <v>-2940</v>
      </c>
      <c r="E6" s="19">
        <f t="shared" ref="E6:E32" si="2">D6/3194653.1</f>
        <v>-0.000920287714493946</v>
      </c>
      <c r="F6" s="20">
        <f t="shared" si="1"/>
        <v>-0.00162512374985697</v>
      </c>
    </row>
    <row r="7" spans="1:6">
      <c r="A7" s="14" t="s">
        <v>32</v>
      </c>
      <c r="B7" s="4">
        <v>184500</v>
      </c>
      <c r="C7" s="4">
        <v>214200</v>
      </c>
      <c r="D7" s="4">
        <f t="shared" si="0"/>
        <v>-29700</v>
      </c>
      <c r="E7" s="19">
        <f t="shared" si="2"/>
        <v>-0.0092967840545817</v>
      </c>
      <c r="F7" s="20">
        <f t="shared" si="1"/>
        <v>-0.0164170664526368</v>
      </c>
    </row>
    <row r="8" spans="1:6">
      <c r="A8" s="4" t="s">
        <v>84</v>
      </c>
      <c r="B8" s="4">
        <v>16160</v>
      </c>
      <c r="C8" s="4">
        <v>8800</v>
      </c>
      <c r="D8" s="4">
        <f t="shared" si="0"/>
        <v>7360</v>
      </c>
      <c r="E8" s="19">
        <f t="shared" si="2"/>
        <v>0.00230384951655627</v>
      </c>
      <c r="F8" s="20">
        <f t="shared" si="1"/>
        <v>0.00406833700644467</v>
      </c>
    </row>
    <row r="9" spans="1:6">
      <c r="A9" s="4" t="s">
        <v>67</v>
      </c>
      <c r="B9" s="4">
        <v>3200</v>
      </c>
      <c r="C9" s="4"/>
      <c r="D9" s="4">
        <f t="shared" si="0"/>
        <v>3200</v>
      </c>
      <c r="E9" s="19">
        <f t="shared" si="2"/>
        <v>0.00100167370285055</v>
      </c>
      <c r="F9" s="20">
        <f t="shared" si="1"/>
        <v>0.00176884217671507</v>
      </c>
    </row>
    <row r="10" spans="1:6">
      <c r="A10" s="14" t="s">
        <v>55</v>
      </c>
      <c r="B10" s="4">
        <v>74556</v>
      </c>
      <c r="C10" s="4">
        <v>131918.4</v>
      </c>
      <c r="D10" s="4">
        <f t="shared" si="0"/>
        <v>-57362.4</v>
      </c>
      <c r="E10" s="19">
        <f t="shared" si="2"/>
        <v>-0.0179557523788733</v>
      </c>
      <c r="F10" s="20">
        <f t="shared" si="1"/>
        <v>-0.0317078226492502</v>
      </c>
    </row>
    <row r="11" spans="1:6">
      <c r="A11" s="4" t="s">
        <v>57</v>
      </c>
      <c r="B11" s="4">
        <v>19296</v>
      </c>
      <c r="C11" s="4"/>
      <c r="D11" s="4">
        <f t="shared" si="0"/>
        <v>19296</v>
      </c>
      <c r="E11" s="19">
        <f t="shared" si="2"/>
        <v>0.00604009242818884</v>
      </c>
      <c r="F11" s="20">
        <f t="shared" si="1"/>
        <v>0.0106661183255919</v>
      </c>
    </row>
    <row r="12" spans="1:6">
      <c r="A12" s="4" t="s">
        <v>76</v>
      </c>
      <c r="B12" s="4">
        <v>7800</v>
      </c>
      <c r="C12" s="4">
        <v>18000</v>
      </c>
      <c r="D12" s="4">
        <f t="shared" si="0"/>
        <v>-10200</v>
      </c>
      <c r="E12" s="19">
        <f t="shared" si="2"/>
        <v>-0.00319283492783614</v>
      </c>
      <c r="F12" s="20">
        <f t="shared" si="1"/>
        <v>-0.00563818443827929</v>
      </c>
    </row>
    <row r="13" spans="1:6">
      <c r="A13" s="15" t="s">
        <v>22</v>
      </c>
      <c r="B13" s="4">
        <v>966708</v>
      </c>
      <c r="C13" s="4">
        <v>10944</v>
      </c>
      <c r="D13" s="4">
        <f t="shared" si="0"/>
        <v>955764</v>
      </c>
      <c r="E13" s="19">
        <f t="shared" si="2"/>
        <v>0.299176145291018</v>
      </c>
      <c r="F13" s="20">
        <f t="shared" si="1"/>
        <v>0.528311148183095</v>
      </c>
    </row>
    <row r="14" spans="1:6">
      <c r="A14" s="4" t="s">
        <v>92</v>
      </c>
      <c r="B14" s="4">
        <v>20720</v>
      </c>
      <c r="C14" s="4">
        <v>8568.3</v>
      </c>
      <c r="D14" s="4">
        <f t="shared" si="0"/>
        <v>12151.7</v>
      </c>
      <c r="E14" s="19">
        <f t="shared" si="2"/>
        <v>0.00380376197966534</v>
      </c>
      <c r="F14" s="20">
        <f t="shared" si="1"/>
        <v>0.00671701233712142</v>
      </c>
    </row>
    <row r="15" spans="1:6">
      <c r="A15" s="15" t="s">
        <v>28</v>
      </c>
      <c r="B15" s="4">
        <v>424704</v>
      </c>
      <c r="C15" s="4"/>
      <c r="D15" s="4">
        <f t="shared" si="0"/>
        <v>424704</v>
      </c>
      <c r="E15" s="19">
        <f t="shared" si="2"/>
        <v>0.132942133842325</v>
      </c>
      <c r="F15" s="20">
        <f t="shared" si="1"/>
        <v>0.234760733693624</v>
      </c>
    </row>
    <row r="16" spans="1:6">
      <c r="A16" s="4" t="s">
        <v>88</v>
      </c>
      <c r="B16" s="4"/>
      <c r="C16" s="4">
        <v>4480</v>
      </c>
      <c r="D16" s="4">
        <f t="shared" si="0"/>
        <v>-4480</v>
      </c>
      <c r="E16" s="19">
        <f t="shared" si="2"/>
        <v>-0.00140234318399077</v>
      </c>
      <c r="F16" s="20">
        <f t="shared" si="1"/>
        <v>-0.0024763790474011</v>
      </c>
    </row>
    <row r="17" spans="1:6">
      <c r="A17" s="4" t="s">
        <v>20</v>
      </c>
      <c r="B17" s="16">
        <v>1136100</v>
      </c>
      <c r="C17" s="4"/>
      <c r="D17" s="4">
        <f t="shared" si="0"/>
        <v>1136100</v>
      </c>
      <c r="E17" s="19">
        <f t="shared" si="2"/>
        <v>0.355625466815161</v>
      </c>
      <c r="F17" s="4"/>
    </row>
    <row r="18" spans="1:6">
      <c r="A18" s="4" t="s">
        <v>78</v>
      </c>
      <c r="B18" s="4">
        <v>46368</v>
      </c>
      <c r="C18" s="4">
        <v>37432.5</v>
      </c>
      <c r="D18" s="4">
        <f t="shared" si="0"/>
        <v>8935.5</v>
      </c>
      <c r="E18" s="19">
        <f t="shared" si="2"/>
        <v>0.0027970173036941</v>
      </c>
      <c r="F18" s="20">
        <f t="shared" ref="F18:F26" si="3">D18/1809093</f>
        <v>0.00493921539688673</v>
      </c>
    </row>
    <row r="19" spans="1:6">
      <c r="A19" s="14" t="s">
        <v>50</v>
      </c>
      <c r="B19" s="4">
        <v>134382</v>
      </c>
      <c r="C19" s="4">
        <v>161000</v>
      </c>
      <c r="D19" s="4">
        <f t="shared" si="0"/>
        <v>-26618</v>
      </c>
      <c r="E19" s="19">
        <f t="shared" si="2"/>
        <v>-0.00833204706952376</v>
      </c>
      <c r="F19" s="20">
        <f t="shared" si="3"/>
        <v>-0.0147134503311881</v>
      </c>
    </row>
    <row r="20" spans="1:6">
      <c r="A20" s="4" t="s">
        <v>52</v>
      </c>
      <c r="B20" s="4">
        <v>12800</v>
      </c>
      <c r="C20" s="4">
        <v>6400</v>
      </c>
      <c r="D20" s="4">
        <f t="shared" si="0"/>
        <v>6400</v>
      </c>
      <c r="E20" s="19">
        <f t="shared" si="2"/>
        <v>0.00200334740570111</v>
      </c>
      <c r="F20" s="20">
        <f t="shared" si="3"/>
        <v>0.00353768435343014</v>
      </c>
    </row>
    <row r="21" spans="1:6">
      <c r="A21" s="4" t="s">
        <v>48</v>
      </c>
      <c r="B21" s="4">
        <v>252720</v>
      </c>
      <c r="C21" s="4">
        <v>220800</v>
      </c>
      <c r="D21" s="4">
        <f t="shared" si="0"/>
        <v>31920</v>
      </c>
      <c r="E21" s="19">
        <f t="shared" si="2"/>
        <v>0.00999169518593427</v>
      </c>
      <c r="F21" s="20">
        <f t="shared" si="3"/>
        <v>0.0176442007127328</v>
      </c>
    </row>
    <row r="22" spans="1:6">
      <c r="A22" s="4" t="s">
        <v>30</v>
      </c>
      <c r="B22" s="4">
        <v>361996.8</v>
      </c>
      <c r="C22" s="4">
        <v>352212</v>
      </c>
      <c r="D22" s="4">
        <f t="shared" si="0"/>
        <v>9784.79999999999</v>
      </c>
      <c r="E22" s="19">
        <f t="shared" si="2"/>
        <v>0.00306286776489128</v>
      </c>
      <c r="F22" s="20">
        <f t="shared" si="3"/>
        <v>0.00540867716585051</v>
      </c>
    </row>
    <row r="23" spans="1:6">
      <c r="A23" s="4" t="s">
        <v>61</v>
      </c>
      <c r="B23" s="4">
        <v>20773.5</v>
      </c>
      <c r="C23" s="4"/>
      <c r="D23" s="4">
        <f t="shared" si="0"/>
        <v>20773.5</v>
      </c>
      <c r="E23" s="19">
        <f t="shared" si="2"/>
        <v>0.00650258395817687</v>
      </c>
      <c r="F23" s="20">
        <f t="shared" si="3"/>
        <v>0.011482825924372</v>
      </c>
    </row>
    <row r="24" spans="1:6">
      <c r="A24" s="15" t="s">
        <v>112</v>
      </c>
      <c r="B24" s="4">
        <v>60438</v>
      </c>
      <c r="C24" s="4">
        <v>6720</v>
      </c>
      <c r="D24" s="4">
        <f t="shared" si="0"/>
        <v>53718</v>
      </c>
      <c r="E24" s="19">
        <f t="shared" si="2"/>
        <v>0.0168149712405394</v>
      </c>
      <c r="F24" s="20">
        <f t="shared" si="3"/>
        <v>0.0296933325152438</v>
      </c>
    </row>
    <row r="25" spans="1:6">
      <c r="A25" s="15" t="s">
        <v>44</v>
      </c>
      <c r="B25" s="4">
        <v>2457932.5</v>
      </c>
      <c r="C25" s="4">
        <v>2101190.5</v>
      </c>
      <c r="D25" s="4">
        <f t="shared" si="0"/>
        <v>356742</v>
      </c>
      <c r="E25" s="19">
        <f t="shared" si="2"/>
        <v>0.111668462531973</v>
      </c>
      <c r="F25" s="20">
        <f t="shared" si="3"/>
        <v>0.197193842439278</v>
      </c>
    </row>
    <row r="26" spans="1:6">
      <c r="A26" s="14" t="s">
        <v>47</v>
      </c>
      <c r="B26" s="4">
        <v>271680</v>
      </c>
      <c r="C26" s="4">
        <v>293120</v>
      </c>
      <c r="D26" s="4">
        <f t="shared" si="0"/>
        <v>-21440</v>
      </c>
      <c r="E26" s="19">
        <f t="shared" si="2"/>
        <v>-0.00671121380909871</v>
      </c>
      <c r="F26" s="20">
        <f t="shared" si="3"/>
        <v>-0.011851242583991</v>
      </c>
    </row>
    <row r="27" spans="1:6">
      <c r="A27" s="4" t="s">
        <v>24</v>
      </c>
      <c r="B27" s="16">
        <v>249460</v>
      </c>
      <c r="C27" s="4"/>
      <c r="D27" s="4">
        <f t="shared" si="0"/>
        <v>249460</v>
      </c>
      <c r="E27" s="19">
        <f t="shared" si="2"/>
        <v>0.0780867255978435</v>
      </c>
      <c r="F27" s="4"/>
    </row>
    <row r="28" spans="1:6">
      <c r="A28" s="4" t="s">
        <v>72</v>
      </c>
      <c r="B28" s="4">
        <v>3552</v>
      </c>
      <c r="C28" s="4"/>
      <c r="D28" s="4">
        <f t="shared" si="0"/>
        <v>3552</v>
      </c>
      <c r="E28" s="19">
        <f t="shared" si="2"/>
        <v>0.00111185781016411</v>
      </c>
      <c r="F28" s="20">
        <f>D28/1809093</f>
        <v>0.00196341481615373</v>
      </c>
    </row>
    <row r="29" spans="1:6">
      <c r="A29" s="4" t="s">
        <v>74</v>
      </c>
      <c r="B29" s="4">
        <v>1200</v>
      </c>
      <c r="C29" s="4"/>
      <c r="D29" s="4">
        <f t="shared" si="0"/>
        <v>1200</v>
      </c>
      <c r="E29" s="19">
        <f t="shared" si="2"/>
        <v>0.000375627638568958</v>
      </c>
      <c r="F29" s="20">
        <f>D29/1809093</f>
        <v>0.000663315816268152</v>
      </c>
    </row>
    <row r="30" spans="1:6">
      <c r="A30" s="4" t="s">
        <v>36</v>
      </c>
      <c r="B30" s="4">
        <v>15360</v>
      </c>
      <c r="C30" s="4"/>
      <c r="D30" s="4">
        <f t="shared" si="0"/>
        <v>15360</v>
      </c>
      <c r="E30" s="19">
        <f t="shared" si="2"/>
        <v>0.00480803377368266</v>
      </c>
      <c r="F30" s="20">
        <f>D30/1809093</f>
        <v>0.00849044244823235</v>
      </c>
    </row>
    <row r="31" spans="1:6">
      <c r="A31" s="4" t="s">
        <v>39</v>
      </c>
      <c r="B31" s="4">
        <v>23040</v>
      </c>
      <c r="C31" s="4"/>
      <c r="D31" s="4">
        <f t="shared" si="0"/>
        <v>23040</v>
      </c>
      <c r="E31" s="19">
        <f t="shared" si="2"/>
        <v>0.00721205066052399</v>
      </c>
      <c r="F31" s="20">
        <f>D31/1809093</f>
        <v>0.0127356636723485</v>
      </c>
    </row>
    <row r="32" customFormat="1" ht="33" customHeight="1" spans="1:6">
      <c r="A32" s="17" t="s">
        <v>113</v>
      </c>
      <c r="B32" s="17">
        <v>6882258.8</v>
      </c>
      <c r="C32" s="17">
        <v>3687605.7</v>
      </c>
      <c r="D32" s="17">
        <f t="shared" si="0"/>
        <v>3194653.1</v>
      </c>
      <c r="E32" s="21">
        <f>D32/C32</f>
        <v>0.86632177079019</v>
      </c>
      <c r="F32" s="21">
        <f>1809093/C32</f>
        <v>0.490587429127794</v>
      </c>
    </row>
  </sheetData>
  <autoFilter xmlns:etc="http://www.wps.cn/officeDocument/2017/etCustomData" ref="A3:F32" etc:filterBottomFollowUsedRange="0">
    <extLst/>
  </autoFilter>
  <mergeCells count="3">
    <mergeCell ref="A1:F1"/>
    <mergeCell ref="E2:E3"/>
    <mergeCell ref="F2:F3"/>
  </mergeCells>
  <conditionalFormatting sqref="E4:E3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{877bf72d-ec62-4413-8487-c20a3d39b2dc}</x14:id>
        </ext>
      </extLst>
    </cfRule>
  </conditionalFormatting>
  <conditionalFormatting sqref="F4:F3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{46102f18-fdc1-428c-88f4-1954c70b9069}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7bf72d-ec62-4413-8487-c20a3d39b2dc}">
            <x14:dataBar minLength="0" maxLength="100" gradient="0">
              <x14:cfvo type="autoMin"/>
              <x14:cfvo type="autoMax"/>
              <x14:negativeFillColor theme="7"/>
              <x14:axisColor rgb="FF000000"/>
            </x14:dataBar>
          </x14:cfRule>
          <xm:sqref>E4:E31</xm:sqref>
        </x14:conditionalFormatting>
        <x14:conditionalFormatting xmlns:xm="http://schemas.microsoft.com/office/excel/2006/main">
          <x14:cfRule type="dataBar" id="{46102f18-fdc1-428c-88f4-1954c70b9069}">
            <x14:dataBar minLength="0" maxLength="100" gradient="0">
              <x14:cfvo type="autoMin"/>
              <x14:cfvo type="autoMax"/>
              <x14:negativeFillColor theme="7"/>
              <x14:axisColor rgb="FF000000"/>
            </x14:dataBar>
          </x14:cfRule>
          <xm:sqref>F4:F31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workbookViewId="0">
      <selection activeCell="I23" sqref="I23"/>
    </sheetView>
  </sheetViews>
  <sheetFormatPr defaultColWidth="9" defaultRowHeight="16.8"/>
  <cols>
    <col min="1" max="1" width="25.75" customWidth="1"/>
    <col min="2" max="2" width="22.25" customWidth="1"/>
    <col min="3" max="3" width="14.375" customWidth="1"/>
    <col min="4" max="4" width="15.625" customWidth="1"/>
    <col min="5" max="5" width="17.625" customWidth="1"/>
    <col min="6" max="6" width="19.625" customWidth="1"/>
  </cols>
  <sheetData>
    <row r="1" ht="36" customHeight="1" spans="1:6">
      <c r="A1" s="1" t="s">
        <v>104</v>
      </c>
      <c r="B1" s="1"/>
      <c r="C1" s="1"/>
      <c r="D1" s="1"/>
      <c r="E1" s="1"/>
      <c r="F1" s="1"/>
    </row>
    <row r="2" ht="34" spans="1:6">
      <c r="A2" s="2" t="s">
        <v>114</v>
      </c>
      <c r="B2" s="3" t="s">
        <v>115</v>
      </c>
      <c r="C2" s="3" t="s">
        <v>116</v>
      </c>
      <c r="D2" s="3" t="s">
        <v>111</v>
      </c>
      <c r="E2" s="9" t="s">
        <v>107</v>
      </c>
      <c r="F2" s="9" t="s">
        <v>108</v>
      </c>
    </row>
    <row r="3" spans="1:6">
      <c r="A3" s="4" t="s">
        <v>39</v>
      </c>
      <c r="B3" s="5">
        <v>152000</v>
      </c>
      <c r="C3" s="5">
        <v>0</v>
      </c>
      <c r="D3" s="5">
        <f t="shared" ref="D3:D37" si="0">B3-C3</f>
        <v>152000</v>
      </c>
      <c r="E3" s="10">
        <f>D3/7834181</f>
        <v>0.0194021557582088</v>
      </c>
      <c r="F3" s="10">
        <f t="shared" ref="F3:F37" si="1">D3/4178541</f>
        <v>0.0363763332703927</v>
      </c>
    </row>
    <row r="4" spans="1:6">
      <c r="A4" s="4" t="s">
        <v>98</v>
      </c>
      <c r="B4" s="5">
        <v>10692</v>
      </c>
      <c r="C4" s="5">
        <v>0</v>
      </c>
      <c r="D4" s="5">
        <f t="shared" si="0"/>
        <v>10692</v>
      </c>
      <c r="E4" s="10">
        <f t="shared" ref="E3:E37" si="2">D4/7834181</f>
        <v>0.00136478848267611</v>
      </c>
      <c r="F4" s="10">
        <f t="shared" si="1"/>
        <v>0.00255878786399368</v>
      </c>
    </row>
    <row r="5" spans="1:6">
      <c r="A5" s="4" t="s">
        <v>95</v>
      </c>
      <c r="B5" s="5">
        <v>24000</v>
      </c>
      <c r="C5" s="5">
        <v>0</v>
      </c>
      <c r="D5" s="5">
        <f t="shared" si="0"/>
        <v>24000</v>
      </c>
      <c r="E5" s="10">
        <f t="shared" si="2"/>
        <v>0.00306349827761192</v>
      </c>
      <c r="F5" s="10">
        <f t="shared" si="1"/>
        <v>0.00574363156900937</v>
      </c>
    </row>
    <row r="6" spans="1:6">
      <c r="A6" s="4" t="s">
        <v>41</v>
      </c>
      <c r="B6" s="5">
        <v>110400</v>
      </c>
      <c r="C6" s="5">
        <v>178493.5</v>
      </c>
      <c r="D6" s="5">
        <f t="shared" si="0"/>
        <v>-68093.5</v>
      </c>
      <c r="E6" s="10">
        <f t="shared" si="2"/>
        <v>-0.00869184666527363</v>
      </c>
      <c r="F6" s="10">
        <f t="shared" si="1"/>
        <v>-0.0162959990101808</v>
      </c>
    </row>
    <row r="7" spans="1:6">
      <c r="A7" s="4" t="s">
        <v>80</v>
      </c>
      <c r="B7" s="5">
        <v>332816</v>
      </c>
      <c r="C7" s="5">
        <v>107336</v>
      </c>
      <c r="D7" s="5">
        <f t="shared" si="0"/>
        <v>225480</v>
      </c>
      <c r="E7" s="10">
        <f t="shared" si="2"/>
        <v>0.028781566318164</v>
      </c>
      <c r="F7" s="10">
        <f t="shared" si="1"/>
        <v>0.0539614185908431</v>
      </c>
    </row>
    <row r="8" spans="1:6">
      <c r="A8" s="4" t="s">
        <v>90</v>
      </c>
      <c r="B8" s="5">
        <v>46053</v>
      </c>
      <c r="C8" s="5">
        <v>35460</v>
      </c>
      <c r="D8" s="5">
        <f t="shared" si="0"/>
        <v>10593</v>
      </c>
      <c r="E8" s="10">
        <f t="shared" si="2"/>
        <v>0.00135215155228096</v>
      </c>
      <c r="F8" s="10">
        <f t="shared" si="1"/>
        <v>0.00253509538377151</v>
      </c>
    </row>
    <row r="9" spans="1:6">
      <c r="A9" s="4" t="s">
        <v>32</v>
      </c>
      <c r="B9" s="5">
        <v>474000</v>
      </c>
      <c r="C9" s="5">
        <v>372588</v>
      </c>
      <c r="D9" s="5">
        <f t="shared" si="0"/>
        <v>101412</v>
      </c>
      <c r="E9" s="10">
        <f t="shared" si="2"/>
        <v>0.0129448119720492</v>
      </c>
      <c r="F9" s="10">
        <f t="shared" si="1"/>
        <v>0.0242697151948491</v>
      </c>
    </row>
    <row r="10" spans="1:6">
      <c r="A10" s="4" t="s">
        <v>84</v>
      </c>
      <c r="B10" s="5">
        <v>39320</v>
      </c>
      <c r="C10" s="5">
        <v>29546</v>
      </c>
      <c r="D10" s="5">
        <f t="shared" si="0"/>
        <v>9774</v>
      </c>
      <c r="E10" s="10">
        <f t="shared" si="2"/>
        <v>0.00124760967355745</v>
      </c>
      <c r="F10" s="10">
        <f t="shared" si="1"/>
        <v>0.00233909395647907</v>
      </c>
    </row>
    <row r="11" spans="1:6">
      <c r="A11" s="4" t="s">
        <v>67</v>
      </c>
      <c r="B11" s="5">
        <v>12800</v>
      </c>
      <c r="C11" s="5">
        <v>0</v>
      </c>
      <c r="D11" s="5">
        <f t="shared" si="0"/>
        <v>12800</v>
      </c>
      <c r="E11" s="10">
        <f t="shared" si="2"/>
        <v>0.00163386574805969</v>
      </c>
      <c r="F11" s="10">
        <f t="shared" si="1"/>
        <v>0.00306327017013833</v>
      </c>
    </row>
    <row r="12" spans="1:6">
      <c r="A12" s="4" t="s">
        <v>55</v>
      </c>
      <c r="B12" s="5">
        <v>158520</v>
      </c>
      <c r="C12" s="5">
        <v>273821.1</v>
      </c>
      <c r="D12" s="5">
        <f t="shared" si="0"/>
        <v>-115301.1</v>
      </c>
      <c r="E12" s="10">
        <f t="shared" si="2"/>
        <v>-0.0147176967190316</v>
      </c>
      <c r="F12" s="10">
        <f t="shared" si="1"/>
        <v>-0.0275936265792294</v>
      </c>
    </row>
    <row r="13" spans="1:11">
      <c r="A13" s="4" t="s">
        <v>57</v>
      </c>
      <c r="B13" s="5">
        <v>116640</v>
      </c>
      <c r="C13" s="5">
        <v>25920</v>
      </c>
      <c r="D13" s="5">
        <f t="shared" si="0"/>
        <v>90720</v>
      </c>
      <c r="E13" s="10">
        <f t="shared" si="2"/>
        <v>0.011580023489373</v>
      </c>
      <c r="F13" s="10">
        <f t="shared" si="1"/>
        <v>0.0217109273308554</v>
      </c>
      <c r="K13" s="11"/>
    </row>
    <row r="14" spans="1:6">
      <c r="A14" s="4" t="s">
        <v>76</v>
      </c>
      <c r="B14" s="5">
        <v>108000</v>
      </c>
      <c r="C14" s="5">
        <v>14400</v>
      </c>
      <c r="D14" s="5">
        <f t="shared" si="0"/>
        <v>93600</v>
      </c>
      <c r="E14" s="10">
        <f t="shared" si="2"/>
        <v>0.0119476432826865</v>
      </c>
      <c r="F14" s="10">
        <f t="shared" si="1"/>
        <v>0.0224001631191366</v>
      </c>
    </row>
    <row r="15" spans="1:6">
      <c r="A15" s="4" t="s">
        <v>86</v>
      </c>
      <c r="B15" s="5">
        <v>108000</v>
      </c>
      <c r="C15" s="5">
        <v>0</v>
      </c>
      <c r="D15" s="5">
        <f t="shared" si="0"/>
        <v>108000</v>
      </c>
      <c r="E15" s="10">
        <f t="shared" si="2"/>
        <v>0.0137857422492536</v>
      </c>
      <c r="F15" s="10">
        <f t="shared" si="1"/>
        <v>0.0258463420605422</v>
      </c>
    </row>
    <row r="16" spans="1:6">
      <c r="A16" s="4" t="s">
        <v>22</v>
      </c>
      <c r="B16" s="5">
        <v>1904178</v>
      </c>
      <c r="C16" s="5">
        <v>725964</v>
      </c>
      <c r="D16" s="5">
        <f t="shared" si="0"/>
        <v>1178214</v>
      </c>
      <c r="E16" s="10">
        <f t="shared" si="2"/>
        <v>0.150394023319094</v>
      </c>
      <c r="F16" s="10">
        <f t="shared" si="1"/>
        <v>0.2819677968937</v>
      </c>
    </row>
    <row r="17" spans="1:6">
      <c r="A17" s="4" t="s">
        <v>92</v>
      </c>
      <c r="B17" s="5">
        <v>80626.7</v>
      </c>
      <c r="C17" s="5">
        <v>32511.9</v>
      </c>
      <c r="D17" s="5">
        <f t="shared" si="0"/>
        <v>48114.8</v>
      </c>
      <c r="E17" s="10">
        <f t="shared" si="2"/>
        <v>0.00614165028865174</v>
      </c>
      <c r="F17" s="10">
        <f t="shared" si="1"/>
        <v>0.0115147368423572</v>
      </c>
    </row>
    <row r="18" spans="1:6">
      <c r="A18" s="4" t="s">
        <v>102</v>
      </c>
      <c r="B18" s="5">
        <v>1240</v>
      </c>
      <c r="C18" s="5">
        <v>0</v>
      </c>
      <c r="D18" s="5">
        <f t="shared" si="0"/>
        <v>1240</v>
      </c>
      <c r="E18" s="10">
        <f t="shared" si="2"/>
        <v>0.000158280744343282</v>
      </c>
      <c r="F18" s="10">
        <f t="shared" si="1"/>
        <v>0.000296754297732151</v>
      </c>
    </row>
    <row r="19" spans="1:6">
      <c r="A19" s="4" t="s">
        <v>28</v>
      </c>
      <c r="B19" s="5">
        <v>1502472</v>
      </c>
      <c r="C19" s="5">
        <v>2688</v>
      </c>
      <c r="D19" s="5">
        <f t="shared" si="0"/>
        <v>1499784</v>
      </c>
      <c r="E19" s="10">
        <f t="shared" si="2"/>
        <v>0.191441070866246</v>
      </c>
      <c r="F19" s="10">
        <f t="shared" si="1"/>
        <v>0.358925280378965</v>
      </c>
    </row>
    <row r="20" spans="1:6">
      <c r="A20" s="4" t="s">
        <v>100</v>
      </c>
      <c r="B20" s="5">
        <v>13600</v>
      </c>
      <c r="C20" s="5">
        <v>0</v>
      </c>
      <c r="D20" s="5">
        <f t="shared" si="0"/>
        <v>13600</v>
      </c>
      <c r="E20" s="10">
        <f t="shared" si="2"/>
        <v>0.00173598235731342</v>
      </c>
      <c r="F20" s="10">
        <f t="shared" si="1"/>
        <v>0.00325472455577198</v>
      </c>
    </row>
    <row r="21" spans="1:6">
      <c r="A21" s="4" t="s">
        <v>20</v>
      </c>
      <c r="B21" s="6">
        <v>2862300</v>
      </c>
      <c r="C21" s="5">
        <v>0</v>
      </c>
      <c r="D21" s="5">
        <f t="shared" si="0"/>
        <v>2862300</v>
      </c>
      <c r="E21" s="10">
        <f t="shared" si="2"/>
        <v>0.365360463333691</v>
      </c>
      <c r="F21" s="10">
        <f t="shared" si="1"/>
        <v>0.68499985999898</v>
      </c>
    </row>
    <row r="22" spans="1:6">
      <c r="A22" s="4" t="s">
        <v>78</v>
      </c>
      <c r="B22" s="5">
        <v>94500</v>
      </c>
      <c r="C22" s="5">
        <v>101602.5</v>
      </c>
      <c r="D22" s="5">
        <f t="shared" si="0"/>
        <v>-7102.5</v>
      </c>
      <c r="E22" s="10">
        <f t="shared" si="2"/>
        <v>-0.000906604021530776</v>
      </c>
      <c r="F22" s="10">
        <f t="shared" si="1"/>
        <v>-0.00169975596745371</v>
      </c>
    </row>
    <row r="23" spans="1:6">
      <c r="A23" s="4" t="s">
        <v>50</v>
      </c>
      <c r="B23" s="5">
        <v>420877</v>
      </c>
      <c r="C23" s="5">
        <v>457688.5</v>
      </c>
      <c r="D23" s="5">
        <f t="shared" si="0"/>
        <v>-36811.5</v>
      </c>
      <c r="E23" s="10">
        <f t="shared" si="2"/>
        <v>-0.00469883195192963</v>
      </c>
      <c r="F23" s="10">
        <f t="shared" si="1"/>
        <v>-0.00880965389594119</v>
      </c>
    </row>
    <row r="24" spans="1:6">
      <c r="A24" s="4" t="s">
        <v>52</v>
      </c>
      <c r="B24" s="5">
        <v>38400</v>
      </c>
      <c r="C24" s="5">
        <v>41600</v>
      </c>
      <c r="D24" s="5">
        <f t="shared" si="0"/>
        <v>-3200</v>
      </c>
      <c r="E24" s="10">
        <f t="shared" si="2"/>
        <v>-0.000408466437014922</v>
      </c>
      <c r="F24" s="10">
        <f t="shared" si="1"/>
        <v>-0.000765817542534583</v>
      </c>
    </row>
    <row r="25" spans="1:6">
      <c r="A25" s="4" t="s">
        <v>48</v>
      </c>
      <c r="B25" s="5">
        <v>622044</v>
      </c>
      <c r="C25" s="5">
        <v>614880</v>
      </c>
      <c r="D25" s="5">
        <f t="shared" si="0"/>
        <v>7164</v>
      </c>
      <c r="E25" s="10">
        <f t="shared" si="2"/>
        <v>0.000914454235867157</v>
      </c>
      <c r="F25" s="10">
        <f t="shared" si="1"/>
        <v>0.0017144740233493</v>
      </c>
    </row>
    <row r="26" spans="1:6">
      <c r="A26" s="4" t="s">
        <v>30</v>
      </c>
      <c r="B26" s="5">
        <v>423928.8</v>
      </c>
      <c r="C26" s="5">
        <v>796668</v>
      </c>
      <c r="D26" s="5">
        <f t="shared" si="0"/>
        <v>-372739.2</v>
      </c>
      <c r="E26" s="10">
        <f t="shared" si="2"/>
        <v>-0.0475785790499351</v>
      </c>
      <c r="F26" s="10">
        <f t="shared" si="1"/>
        <v>-0.0892031931719708</v>
      </c>
    </row>
    <row r="27" spans="1:6">
      <c r="A27" s="4" t="s">
        <v>61</v>
      </c>
      <c r="B27" s="5">
        <v>115802.5</v>
      </c>
      <c r="C27" s="5">
        <v>0</v>
      </c>
      <c r="D27" s="5">
        <f t="shared" si="0"/>
        <v>115802.5</v>
      </c>
      <c r="E27" s="10">
        <f t="shared" si="2"/>
        <v>0.0147816983038814</v>
      </c>
      <c r="F27" s="10">
        <f t="shared" si="1"/>
        <v>0.0277136206154253</v>
      </c>
    </row>
    <row r="28" spans="1:6">
      <c r="A28" s="4" t="s">
        <v>112</v>
      </c>
      <c r="B28" s="5">
        <v>170198</v>
      </c>
      <c r="C28" s="5">
        <v>20160</v>
      </c>
      <c r="D28" s="5">
        <f t="shared" si="0"/>
        <v>150038</v>
      </c>
      <c r="E28" s="10">
        <f t="shared" si="2"/>
        <v>0.019151714774014</v>
      </c>
      <c r="F28" s="10">
        <f t="shared" si="1"/>
        <v>0.0359067913896262</v>
      </c>
    </row>
    <row r="29" spans="1:6">
      <c r="A29" s="4" t="s">
        <v>44</v>
      </c>
      <c r="B29" s="5">
        <v>5864744.5</v>
      </c>
      <c r="C29" s="5">
        <v>5312995</v>
      </c>
      <c r="D29" s="5">
        <f t="shared" si="0"/>
        <v>551749.5</v>
      </c>
      <c r="E29" s="10">
        <f t="shared" si="2"/>
        <v>0.0704284851218015</v>
      </c>
      <c r="F29" s="10">
        <f t="shared" si="1"/>
        <v>0.132043576932714</v>
      </c>
    </row>
    <row r="30" spans="1:6">
      <c r="A30" s="4" t="s">
        <v>47</v>
      </c>
      <c r="B30" s="5">
        <v>1021760</v>
      </c>
      <c r="C30" s="5">
        <v>727021</v>
      </c>
      <c r="D30" s="5">
        <f t="shared" si="0"/>
        <v>294739</v>
      </c>
      <c r="E30" s="10">
        <f t="shared" si="2"/>
        <v>0.0376221841185441</v>
      </c>
      <c r="F30" s="10">
        <f t="shared" si="1"/>
        <v>0.0705363427090939</v>
      </c>
    </row>
    <row r="31" spans="1:6">
      <c r="A31" s="4" t="s">
        <v>24</v>
      </c>
      <c r="B31" s="6">
        <v>793340</v>
      </c>
      <c r="C31" s="5">
        <v>0</v>
      </c>
      <c r="D31" s="5">
        <f t="shared" si="0"/>
        <v>793340</v>
      </c>
      <c r="E31" s="10">
        <f t="shared" si="2"/>
        <v>0.101266488481693</v>
      </c>
      <c r="F31" s="10">
        <f t="shared" si="1"/>
        <v>0.189860527873246</v>
      </c>
    </row>
    <row r="32" spans="1:6">
      <c r="A32" s="4" t="s">
        <v>72</v>
      </c>
      <c r="B32" s="5">
        <v>5328</v>
      </c>
      <c r="C32" s="5">
        <v>1480</v>
      </c>
      <c r="D32" s="5">
        <f t="shared" si="0"/>
        <v>3848</v>
      </c>
      <c r="E32" s="10">
        <f t="shared" si="2"/>
        <v>0.000491180890510444</v>
      </c>
      <c r="F32" s="10">
        <f t="shared" si="1"/>
        <v>0.000920895594897836</v>
      </c>
    </row>
    <row r="33" spans="1:6">
      <c r="A33" s="4" t="s">
        <v>34</v>
      </c>
      <c r="B33" s="5">
        <v>50400</v>
      </c>
      <c r="C33" s="5">
        <v>0</v>
      </c>
      <c r="D33" s="5">
        <f t="shared" si="0"/>
        <v>50400</v>
      </c>
      <c r="E33" s="10">
        <f t="shared" si="2"/>
        <v>0.00643334638298502</v>
      </c>
      <c r="F33" s="10">
        <f t="shared" si="1"/>
        <v>0.0120616262949197</v>
      </c>
    </row>
    <row r="34" spans="1:6">
      <c r="A34" s="4" t="s">
        <v>74</v>
      </c>
      <c r="B34" s="5">
        <v>1200</v>
      </c>
      <c r="C34" s="5">
        <v>0</v>
      </c>
      <c r="D34" s="5">
        <f t="shared" si="0"/>
        <v>1200</v>
      </c>
      <c r="E34" s="10">
        <f t="shared" si="2"/>
        <v>0.000153174913880596</v>
      </c>
      <c r="F34" s="10">
        <f t="shared" si="1"/>
        <v>0.000287181578450469</v>
      </c>
    </row>
    <row r="35" spans="1:6">
      <c r="A35" s="4" t="s">
        <v>36</v>
      </c>
      <c r="B35" s="5">
        <v>40960</v>
      </c>
      <c r="C35" s="5">
        <v>6736</v>
      </c>
      <c r="D35" s="5">
        <f t="shared" si="0"/>
        <v>34224</v>
      </c>
      <c r="E35" s="10">
        <f t="shared" si="2"/>
        <v>0.00436854854387459</v>
      </c>
      <c r="F35" s="10">
        <f t="shared" si="1"/>
        <v>0.00819041861740737</v>
      </c>
    </row>
    <row r="36" spans="1:6">
      <c r="A36" s="4" t="s">
        <v>88</v>
      </c>
      <c r="B36" s="4">
        <v>0</v>
      </c>
      <c r="C36" s="4">
        <v>3200</v>
      </c>
      <c r="D36" s="5">
        <f t="shared" si="0"/>
        <v>-3200</v>
      </c>
      <c r="E36" s="10">
        <f t="shared" si="2"/>
        <v>-0.000408466437014922</v>
      </c>
      <c r="F36" s="10">
        <f t="shared" si="1"/>
        <v>-0.000765817542534583</v>
      </c>
    </row>
    <row r="37" spans="1:6">
      <c r="A37" s="4" t="s">
        <v>63</v>
      </c>
      <c r="B37" s="4">
        <v>0</v>
      </c>
      <c r="C37" s="4">
        <v>4200</v>
      </c>
      <c r="D37" s="5">
        <f t="shared" si="0"/>
        <v>-4200</v>
      </c>
      <c r="E37" s="10">
        <f t="shared" si="2"/>
        <v>-0.000536112198582085</v>
      </c>
      <c r="F37" s="10">
        <f t="shared" si="1"/>
        <v>-0.00100513552457664</v>
      </c>
    </row>
    <row r="38" ht="28" customHeight="1" spans="1:6">
      <c r="A38" s="7" t="s">
        <v>113</v>
      </c>
      <c r="B38" s="8">
        <f>SUM(B3:B37)</f>
        <v>17721140.5</v>
      </c>
      <c r="C38" s="8">
        <f>SUM(C3:C37)</f>
        <v>9886959.5</v>
      </c>
      <c r="D38" s="8">
        <f>SUM(D3:D37)</f>
        <v>7834181</v>
      </c>
      <c r="E38" s="10">
        <f>D38/C38</f>
        <v>0.792375148295085</v>
      </c>
      <c r="F38" s="10">
        <f>4178541/C38</f>
        <v>0.422631548151886</v>
      </c>
    </row>
  </sheetData>
  <mergeCells count="1">
    <mergeCell ref="A1:F1"/>
  </mergeCells>
  <conditionalFormatting sqref="E3:F38">
    <cfRule type="dataBar" priority="1">
      <dataBar>
        <cfvo type="num" val="-1"/>
        <cfvo type="num" val="1"/>
        <color rgb="FFFF0000"/>
      </dataBar>
      <extLst>
        <ext xmlns:x14="http://schemas.microsoft.com/office/spreadsheetml/2009/9/main" uri="{B025F937-C7B1-47D3-B67F-A62EFF666E3E}">
          <x14:id>{66a4f2fa-28d0-4b86-b1d1-dccbd11d4cac}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4f2fa-28d0-4b86-b1d1-dccbd11d4cac}">
            <x14:dataBar minLength="0" maxLength="100" gradient="0">
              <x14:cfvo type="num">
                <xm:f>-1</xm:f>
              </x14:cfvo>
              <x14:cfvo type="num">
                <xm:f>1</xm:f>
              </x14:cfvo>
              <x14:negativeFillColor theme="7"/>
              <x14:axisColor theme="4"/>
            </x14:dataBar>
          </x14:cfRule>
          <xm:sqref>E3:F38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1-5月</vt:lpstr>
      <vt:lpstr>1-12月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特大萝卜（SuperTurnip）</cp:lastModifiedBy>
  <dcterms:created xsi:type="dcterms:W3CDTF">2025-02-20T10:50:00Z</dcterms:created>
  <dcterms:modified xsi:type="dcterms:W3CDTF">2025-12-31T11:13:04Z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014FDE6C178418F5D29354695E0C7226_43</vt:lpwstr>
  </property>
  <property fmtid="{D5CDD505-2E9C-101B-9397-08002B2CF9AE}" pid="3" name="KSOProductBuildVer">
    <vt:lpwstr>2052-12.1.23153.23153</vt:lpwstr>
  </property>
  <property fmtid="{D5CDD505-2E9C-101B-9397-08002B2CF9AE}" pid="4" name="KSOReadingLayout">
    <vt:bool>true</vt:bool>
  </property>
</Properties>
</file>